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son\CODE2026\HMHA\notebooks\"/>
    </mc:Choice>
  </mc:AlternateContent>
  <xr:revisionPtr revIDLastSave="0" documentId="13_ncr:1_{DF12AE8D-B81D-4F7D-B184-95A9340DDCF0}" xr6:coauthVersionLast="47" xr6:coauthVersionMax="47" xr10:uidLastSave="{00000000-0000-0000-0000-000000000000}"/>
  <bookViews>
    <workbookView xWindow="2730" yWindow="2730" windowWidth="38700" windowHeight="15345" xr2:uid="{00000000-000D-0000-FFFF-FFFF00000000}"/>
  </bookViews>
  <sheets>
    <sheet name="0 Read me" sheetId="1" r:id="rId1"/>
    <sheet name="1 Task" sheetId="2" r:id="rId2"/>
    <sheet name="2 One head" sheetId="3" r:id="rId3"/>
    <sheet name="3 Two heads" sheetId="4" r:id="rId4"/>
    <sheet name="4 Why R heads" sheetId="5" r:id="rId5"/>
    <sheet name="5 Collateral value" sheetId="6" r:id="rId6"/>
    <sheet name="6 The rule" sheetId="7" r:id="rId7"/>
    <sheet name="7 Backup head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8" l="1"/>
  <c r="F22" i="8" s="1"/>
  <c r="H22" i="8" s="1"/>
  <c r="D21" i="8"/>
  <c r="F21" i="8" s="1"/>
  <c r="H21" i="8" s="1"/>
  <c r="D20" i="8"/>
  <c r="F20" i="8" s="1"/>
  <c r="H20" i="8" s="1"/>
  <c r="D19" i="8"/>
  <c r="F19" i="8" s="1"/>
  <c r="H19" i="8" s="1"/>
  <c r="D18" i="8"/>
  <c r="F18" i="8" s="1"/>
  <c r="H18" i="8" s="1"/>
  <c r="D17" i="8"/>
  <c r="F17" i="8" s="1"/>
  <c r="H17" i="8" s="1"/>
  <c r="D16" i="8"/>
  <c r="F16" i="8" s="1"/>
  <c r="H16" i="8" s="1"/>
  <c r="D15" i="8"/>
  <c r="F15" i="8" s="1"/>
  <c r="H15" i="8" s="1"/>
  <c r="F14" i="8"/>
  <c r="H14" i="8" s="1"/>
  <c r="D14" i="8"/>
  <c r="D13" i="8"/>
  <c r="F13" i="8" s="1"/>
  <c r="H13" i="8" s="1"/>
  <c r="D12" i="8"/>
  <c r="F12" i="8" s="1"/>
  <c r="F11" i="8"/>
  <c r="H11" i="8" s="1"/>
  <c r="D11" i="8"/>
  <c r="G28" i="5"/>
  <c r="G27" i="5"/>
  <c r="G26" i="5"/>
  <c r="G25" i="5"/>
  <c r="G14" i="5"/>
  <c r="F42" i="4"/>
  <c r="E42" i="4"/>
  <c r="D42" i="4"/>
  <c r="C42" i="4"/>
  <c r="K42" i="4" s="1"/>
  <c r="F55" i="4" s="1"/>
  <c r="F41" i="4"/>
  <c r="E41" i="4"/>
  <c r="D41" i="4"/>
  <c r="J41" i="4" s="1"/>
  <c r="E54" i="4" s="1"/>
  <c r="C41" i="4"/>
  <c r="F40" i="4"/>
  <c r="E40" i="4"/>
  <c r="D40" i="4"/>
  <c r="C40" i="4"/>
  <c r="I40" i="4" s="1"/>
  <c r="D53" i="4" s="1"/>
  <c r="F39" i="4"/>
  <c r="E39" i="4"/>
  <c r="D39" i="4"/>
  <c r="C39" i="4"/>
  <c r="I39" i="4" s="1"/>
  <c r="D52" i="4" s="1"/>
  <c r="G29" i="4"/>
  <c r="I29" i="4" s="1"/>
  <c r="H72" i="4" s="1"/>
  <c r="G28" i="4"/>
  <c r="I28" i="4" s="1"/>
  <c r="H71" i="4" s="1"/>
  <c r="G27" i="4"/>
  <c r="I27" i="4" s="1"/>
  <c r="H70" i="4" s="1"/>
  <c r="G26" i="4"/>
  <c r="I26" i="4" s="1"/>
  <c r="H69" i="4" s="1"/>
  <c r="L15" i="4"/>
  <c r="K51" i="4" s="1"/>
  <c r="K15" i="4"/>
  <c r="K50" i="4" s="1"/>
  <c r="G15" i="4"/>
  <c r="J15" i="4" s="1"/>
  <c r="K49" i="4" s="1"/>
  <c r="G14" i="4"/>
  <c r="L14" i="4" s="1"/>
  <c r="J51" i="4" s="1"/>
  <c r="L13" i="4"/>
  <c r="I51" i="4" s="1"/>
  <c r="G13" i="4"/>
  <c r="K13" i="4" s="1"/>
  <c r="I50" i="4" s="1"/>
  <c r="G12" i="4"/>
  <c r="I12" i="4" s="1"/>
  <c r="H48" i="4" s="1"/>
  <c r="H70" i="3"/>
  <c r="F43" i="3"/>
  <c r="E43" i="3"/>
  <c r="D43" i="3"/>
  <c r="K43" i="3" s="1"/>
  <c r="F56" i="3" s="1"/>
  <c r="C43" i="3"/>
  <c r="F42" i="3"/>
  <c r="E42" i="3"/>
  <c r="D42" i="3"/>
  <c r="C42" i="3"/>
  <c r="K42" i="3" s="1"/>
  <c r="F55" i="3" s="1"/>
  <c r="F41" i="3"/>
  <c r="E41" i="3"/>
  <c r="D41" i="3"/>
  <c r="C41" i="3"/>
  <c r="F40" i="3"/>
  <c r="E40" i="3"/>
  <c r="D40" i="3"/>
  <c r="C40" i="3"/>
  <c r="J40" i="3" s="1"/>
  <c r="E53" i="3" s="1"/>
  <c r="G30" i="3"/>
  <c r="I30" i="3" s="1"/>
  <c r="H73" i="3" s="1"/>
  <c r="G29" i="3"/>
  <c r="I29" i="3" s="1"/>
  <c r="H72" i="3" s="1"/>
  <c r="G28" i="3"/>
  <c r="I28" i="3" s="1"/>
  <c r="H71" i="3" s="1"/>
  <c r="I27" i="3"/>
  <c r="G27" i="3"/>
  <c r="G16" i="3"/>
  <c r="G15" i="3"/>
  <c r="L15" i="3" s="1"/>
  <c r="J52" i="3" s="1"/>
  <c r="G14" i="3"/>
  <c r="L14" i="3" s="1"/>
  <c r="I52" i="3" s="1"/>
  <c r="G13" i="3"/>
  <c r="L13" i="3" s="1"/>
  <c r="H52" i="3" s="1"/>
  <c r="G13" i="2"/>
  <c r="H13" i="2" s="1"/>
  <c r="I13" i="2" s="1"/>
  <c r="D13" i="2"/>
  <c r="E13" i="2" s="1"/>
  <c r="F13" i="2" s="1"/>
  <c r="J44" i="6" s="1"/>
  <c r="H12" i="2"/>
  <c r="I12" i="2" s="1"/>
  <c r="G12" i="2"/>
  <c r="E12" i="2"/>
  <c r="F12" i="2" s="1"/>
  <c r="D12" i="2"/>
  <c r="G11" i="2"/>
  <c r="H11" i="2" s="1"/>
  <c r="I11" i="2" s="1"/>
  <c r="D11" i="2"/>
  <c r="E11" i="2" s="1"/>
  <c r="F11" i="2" s="1"/>
  <c r="G10" i="2"/>
  <c r="H10" i="2" s="1"/>
  <c r="I10" i="2" s="1"/>
  <c r="D10" i="2"/>
  <c r="E10" i="2" s="1"/>
  <c r="F10" i="2" s="1"/>
  <c r="C41" i="6" s="1"/>
  <c r="G18" i="1"/>
  <c r="F18" i="1"/>
  <c r="G17" i="1"/>
  <c r="F17" i="1"/>
  <c r="K41" i="4" l="1"/>
  <c r="F54" i="4" s="1"/>
  <c r="I15" i="3"/>
  <c r="J49" i="3" s="1"/>
  <c r="K41" i="3"/>
  <c r="F54" i="3" s="1"/>
  <c r="K12" i="4"/>
  <c r="H50" i="4" s="1"/>
  <c r="K15" i="3"/>
  <c r="J51" i="3" s="1"/>
  <c r="K39" i="4"/>
  <c r="F52" i="4" s="1"/>
  <c r="J12" i="4"/>
  <c r="H49" i="4" s="1"/>
  <c r="L12" i="4"/>
  <c r="H51" i="4" s="1"/>
  <c r="J15" i="3"/>
  <c r="J50" i="3" s="1"/>
  <c r="J39" i="4"/>
  <c r="E52" i="4" s="1"/>
  <c r="I41" i="4"/>
  <c r="D54" i="4" s="1"/>
  <c r="C14" i="6"/>
  <c r="C56" i="6"/>
  <c r="J42" i="6"/>
  <c r="E42" i="6"/>
  <c r="C42" i="6"/>
  <c r="J28" i="6"/>
  <c r="J75" i="3"/>
  <c r="E28" i="6"/>
  <c r="I87" i="4"/>
  <c r="C28" i="6"/>
  <c r="J14" i="6"/>
  <c r="J56" i="6"/>
  <c r="E14" i="6"/>
  <c r="J86" i="4"/>
  <c r="K27" i="6"/>
  <c r="D41" i="6"/>
  <c r="D27" i="6"/>
  <c r="K13" i="6"/>
  <c r="F8" i="5"/>
  <c r="K55" i="6"/>
  <c r="D13" i="6"/>
  <c r="J73" i="4"/>
  <c r="D55" i="6"/>
  <c r="K41" i="6"/>
  <c r="F24" i="8"/>
  <c r="H12" i="8"/>
  <c r="J88" i="4"/>
  <c r="K15" i="6"/>
  <c r="D29" i="6"/>
  <c r="K57" i="6"/>
  <c r="D15" i="6"/>
  <c r="D57" i="6"/>
  <c r="K43" i="6"/>
  <c r="D43" i="6"/>
  <c r="K29" i="6"/>
  <c r="J75" i="4"/>
  <c r="I86" i="4"/>
  <c r="E27" i="6"/>
  <c r="C27" i="6"/>
  <c r="J13" i="6"/>
  <c r="F7" i="5"/>
  <c r="J74" i="3"/>
  <c r="J55" i="6"/>
  <c r="K62" i="6"/>
  <c r="E13" i="6"/>
  <c r="E15" i="7"/>
  <c r="E55" i="6"/>
  <c r="C13" i="6"/>
  <c r="C55" i="6"/>
  <c r="J41" i="6"/>
  <c r="E41" i="6"/>
  <c r="E29" i="6"/>
  <c r="I88" i="4"/>
  <c r="C29" i="6"/>
  <c r="J15" i="6"/>
  <c r="J57" i="6"/>
  <c r="E15" i="6"/>
  <c r="J76" i="3"/>
  <c r="E57" i="6"/>
  <c r="C15" i="6"/>
  <c r="C57" i="6"/>
  <c r="J43" i="6"/>
  <c r="E43" i="6"/>
  <c r="C43" i="6"/>
  <c r="J29" i="6"/>
  <c r="I16" i="3"/>
  <c r="K49" i="3" s="1"/>
  <c r="K16" i="3"/>
  <c r="K51" i="3" s="1"/>
  <c r="L16" i="3"/>
  <c r="K52" i="3" s="1"/>
  <c r="J16" i="3"/>
  <c r="K50" i="3" s="1"/>
  <c r="I42" i="3"/>
  <c r="D55" i="3" s="1"/>
  <c r="H42" i="3"/>
  <c r="C55" i="3" s="1"/>
  <c r="E56" i="6"/>
  <c r="D56" i="6"/>
  <c r="K42" i="6"/>
  <c r="J74" i="4"/>
  <c r="D42" i="6"/>
  <c r="K28" i="6"/>
  <c r="J87" i="4"/>
  <c r="K56" i="6"/>
  <c r="D28" i="6"/>
  <c r="K14" i="6"/>
  <c r="D14" i="6"/>
  <c r="J27" i="6"/>
  <c r="D44" i="6"/>
  <c r="K30" i="6"/>
  <c r="K44" i="6"/>
  <c r="J76" i="4"/>
  <c r="D30" i="6"/>
  <c r="K16" i="6"/>
  <c r="J89" i="4"/>
  <c r="K58" i="6"/>
  <c r="D16" i="6"/>
  <c r="D58" i="6"/>
  <c r="H40" i="3"/>
  <c r="C53" i="3" s="1"/>
  <c r="I40" i="3"/>
  <c r="D53" i="3" s="1"/>
  <c r="J77" i="3"/>
  <c r="E44" i="6"/>
  <c r="C44" i="6"/>
  <c r="J30" i="6"/>
  <c r="E30" i="6"/>
  <c r="C16" i="6"/>
  <c r="C30" i="6"/>
  <c r="J16" i="6"/>
  <c r="I89" i="4"/>
  <c r="E16" i="6"/>
  <c r="E58" i="6"/>
  <c r="J58" i="6"/>
  <c r="C58" i="6"/>
  <c r="J13" i="3"/>
  <c r="H50" i="3" s="1"/>
  <c r="J42" i="3"/>
  <c r="E55" i="3" s="1"/>
  <c r="I13" i="4"/>
  <c r="I48" i="4" s="1"/>
  <c r="K13" i="3"/>
  <c r="H51" i="3" s="1"/>
  <c r="K40" i="3"/>
  <c r="F53" i="3" s="1"/>
  <c r="J13" i="4"/>
  <c r="I49" i="4" s="1"/>
  <c r="I13" i="3"/>
  <c r="H49" i="3" s="1"/>
  <c r="H40" i="4"/>
  <c r="C53" i="4" s="1"/>
  <c r="H42" i="4"/>
  <c r="C55" i="4" s="1"/>
  <c r="I42" i="4"/>
  <c r="D55" i="4" s="1"/>
  <c r="I14" i="3"/>
  <c r="I49" i="3" s="1"/>
  <c r="J40" i="4"/>
  <c r="E53" i="4" s="1"/>
  <c r="J42" i="4"/>
  <c r="E55" i="4" s="1"/>
  <c r="J14" i="3"/>
  <c r="I50" i="3" s="1"/>
  <c r="I14" i="4"/>
  <c r="J48" i="4" s="1"/>
  <c r="K40" i="4"/>
  <c r="F53" i="4" s="1"/>
  <c r="K14" i="3"/>
  <c r="I51" i="3" s="1"/>
  <c r="H41" i="3"/>
  <c r="C54" i="3" s="1"/>
  <c r="J14" i="4"/>
  <c r="J49" i="4" s="1"/>
  <c r="H43" i="3"/>
  <c r="C56" i="3" s="1"/>
  <c r="I41" i="3"/>
  <c r="D54" i="3" s="1"/>
  <c r="I43" i="3"/>
  <c r="D56" i="3" s="1"/>
  <c r="K14" i="4"/>
  <c r="J50" i="4" s="1"/>
  <c r="J41" i="3"/>
  <c r="E54" i="3" s="1"/>
  <c r="J43" i="3"/>
  <c r="E56" i="3" s="1"/>
  <c r="H39" i="4"/>
  <c r="C52" i="4" s="1"/>
  <c r="I15" i="4"/>
  <c r="K48" i="4" s="1"/>
  <c r="H41" i="4"/>
  <c r="C54" i="4" s="1"/>
  <c r="H41" i="6" l="1"/>
  <c r="N41" i="6" s="1"/>
  <c r="H28" i="6"/>
  <c r="N28" i="6" s="1"/>
  <c r="G28" i="6"/>
  <c r="M28" i="6" s="1"/>
  <c r="I54" i="4"/>
  <c r="H54" i="4"/>
  <c r="K54" i="4"/>
  <c r="J54" i="4"/>
  <c r="K55" i="4"/>
  <c r="J55" i="4"/>
  <c r="I55" i="4"/>
  <c r="H55" i="4"/>
  <c r="D64" i="4" s="1"/>
  <c r="H42" i="6"/>
  <c r="N42" i="6" s="1"/>
  <c r="G42" i="6"/>
  <c r="M42" i="6" s="1"/>
  <c r="H53" i="3"/>
  <c r="J53" i="3"/>
  <c r="I53" i="3"/>
  <c r="K53" i="3"/>
  <c r="I52" i="4"/>
  <c r="H52" i="4"/>
  <c r="K52" i="4"/>
  <c r="J52" i="4"/>
  <c r="F61" i="4" s="1"/>
  <c r="E73" i="4" s="1"/>
  <c r="H29" i="6"/>
  <c r="N29" i="6" s="1"/>
  <c r="G29" i="6"/>
  <c r="M29" i="6" s="1"/>
  <c r="H57" i="6"/>
  <c r="N57" i="6" s="1"/>
  <c r="G57" i="6"/>
  <c r="M57" i="6" s="1"/>
  <c r="H58" i="6"/>
  <c r="N58" i="6" s="1"/>
  <c r="G58" i="6"/>
  <c r="M58" i="6" s="1"/>
  <c r="F10" i="5"/>
  <c r="G16" i="5" s="1"/>
  <c r="F9" i="5"/>
  <c r="G15" i="5" s="1"/>
  <c r="H27" i="6"/>
  <c r="N27" i="6" s="1"/>
  <c r="G27" i="6"/>
  <c r="M27" i="6" s="1"/>
  <c r="H30" i="6"/>
  <c r="N30" i="6" s="1"/>
  <c r="G30" i="6"/>
  <c r="M30" i="6" s="1"/>
  <c r="G56" i="6"/>
  <c r="M56" i="6" s="1"/>
  <c r="H56" i="6"/>
  <c r="N56" i="6" s="1"/>
  <c r="H15" i="6"/>
  <c r="N15" i="6" s="1"/>
  <c r="G15" i="6"/>
  <c r="M15" i="6" s="1"/>
  <c r="H14" i="6"/>
  <c r="N14" i="6" s="1"/>
  <c r="G14" i="6"/>
  <c r="M14" i="6" s="1"/>
  <c r="K53" i="4"/>
  <c r="J53" i="4"/>
  <c r="I53" i="4"/>
  <c r="H53" i="4"/>
  <c r="H44" i="6"/>
  <c r="N44" i="6" s="1"/>
  <c r="G44" i="6"/>
  <c r="M44" i="6" s="1"/>
  <c r="H55" i="6"/>
  <c r="N55" i="6" s="1"/>
  <c r="G55" i="6"/>
  <c r="M55" i="6" s="1"/>
  <c r="G41" i="6"/>
  <c r="M41" i="6" s="1"/>
  <c r="N45" i="6" s="1"/>
  <c r="K54" i="3"/>
  <c r="G63" i="3" s="1"/>
  <c r="F75" i="3" s="1"/>
  <c r="J54" i="3"/>
  <c r="I54" i="3"/>
  <c r="H54" i="3"/>
  <c r="H55" i="3"/>
  <c r="K55" i="3"/>
  <c r="J55" i="3"/>
  <c r="I55" i="3"/>
  <c r="E64" i="3" s="1"/>
  <c r="D76" i="3" s="1"/>
  <c r="G16" i="6"/>
  <c r="M16" i="6" s="1"/>
  <c r="H16" i="6"/>
  <c r="N16" i="6" s="1"/>
  <c r="K56" i="3"/>
  <c r="J56" i="3"/>
  <c r="I56" i="3"/>
  <c r="H56" i="3"/>
  <c r="D65" i="3" s="1"/>
  <c r="H43" i="6"/>
  <c r="N43" i="6" s="1"/>
  <c r="G43" i="6"/>
  <c r="M43" i="6" s="1"/>
  <c r="H13" i="6"/>
  <c r="N13" i="6" s="1"/>
  <c r="G13" i="6"/>
  <c r="M13" i="6" s="1"/>
  <c r="D62" i="4" l="1"/>
  <c r="D63" i="4"/>
  <c r="G62" i="3"/>
  <c r="F74" i="3" s="1"/>
  <c r="F62" i="3"/>
  <c r="E74" i="3" s="1"/>
  <c r="F64" i="4"/>
  <c r="E76" i="4" s="1"/>
  <c r="C74" i="4"/>
  <c r="E64" i="4"/>
  <c r="D76" i="4" s="1"/>
  <c r="G64" i="4"/>
  <c r="F76" i="4" s="1"/>
  <c r="N59" i="6"/>
  <c r="H64" i="4"/>
  <c r="C76" i="4"/>
  <c r="H76" i="4" s="1"/>
  <c r="D89" i="4" s="1"/>
  <c r="E62" i="4"/>
  <c r="D74" i="4" s="1"/>
  <c r="F62" i="4"/>
  <c r="E74" i="4" s="1"/>
  <c r="G62" i="4"/>
  <c r="F74" i="4" s="1"/>
  <c r="F64" i="3"/>
  <c r="E76" i="3" s="1"/>
  <c r="F63" i="4"/>
  <c r="E75" i="4" s="1"/>
  <c r="F65" i="3"/>
  <c r="E77" i="3" s="1"/>
  <c r="G65" i="3"/>
  <c r="F77" i="3" s="1"/>
  <c r="G64" i="3"/>
  <c r="F76" i="3" s="1"/>
  <c r="G63" i="4"/>
  <c r="F75" i="4" s="1"/>
  <c r="C77" i="3"/>
  <c r="E65" i="3"/>
  <c r="D77" i="3" s="1"/>
  <c r="C75" i="4"/>
  <c r="N31" i="6"/>
  <c r="D63" i="3"/>
  <c r="G61" i="4"/>
  <c r="F73" i="4" s="1"/>
  <c r="E63" i="4"/>
  <c r="D75" i="4" s="1"/>
  <c r="D62" i="3"/>
  <c r="E63" i="3"/>
  <c r="D75" i="3" s="1"/>
  <c r="D61" i="4"/>
  <c r="E62" i="3"/>
  <c r="D74" i="3" s="1"/>
  <c r="D64" i="3"/>
  <c r="N17" i="6"/>
  <c r="H69" i="6" s="1"/>
  <c r="E9" i="7" s="1"/>
  <c r="F63" i="3"/>
  <c r="E75" i="3" s="1"/>
  <c r="E61" i="4"/>
  <c r="D73" i="4" s="1"/>
  <c r="H61" i="4" l="1"/>
  <c r="C73" i="4"/>
  <c r="H73" i="4" s="1"/>
  <c r="D86" i="4" s="1"/>
  <c r="H75" i="4"/>
  <c r="D88" i="4" s="1"/>
  <c r="C74" i="3"/>
  <c r="H74" i="3" s="1"/>
  <c r="C86" i="4" s="1"/>
  <c r="H62" i="3"/>
  <c r="D69" i="6"/>
  <c r="D67" i="6"/>
  <c r="H63" i="4"/>
  <c r="H74" i="4"/>
  <c r="D87" i="4" s="1"/>
  <c r="H67" i="6"/>
  <c r="C9" i="7" s="1"/>
  <c r="C10" i="7" s="1"/>
  <c r="C75" i="3"/>
  <c r="H75" i="3" s="1"/>
  <c r="C87" i="4" s="1"/>
  <c r="H63" i="3"/>
  <c r="H68" i="6"/>
  <c r="D9" i="7" s="1"/>
  <c r="D15" i="7" s="1"/>
  <c r="C16" i="7" s="1"/>
  <c r="D68" i="6"/>
  <c r="H62" i="4"/>
  <c r="H64" i="3"/>
  <c r="C76" i="3"/>
  <c r="H76" i="3" s="1"/>
  <c r="C88" i="4" s="1"/>
  <c r="H77" i="3"/>
  <c r="C89" i="4" s="1"/>
  <c r="H65" i="3"/>
  <c r="D10" i="7" l="1"/>
  <c r="C11" i="7" s="1"/>
  <c r="C17" i="7"/>
  <c r="D16" i="7"/>
  <c r="F87" i="4"/>
  <c r="L87" i="4" s="1"/>
  <c r="G87" i="4"/>
  <c r="M87" i="4" s="1"/>
  <c r="G86" i="4"/>
  <c r="M86" i="4" s="1"/>
  <c r="F86" i="4"/>
  <c r="L86" i="4" s="1"/>
  <c r="F89" i="4"/>
  <c r="L89" i="4" s="1"/>
  <c r="G89" i="4"/>
  <c r="M89" i="4" s="1"/>
  <c r="G88" i="4"/>
  <c r="M88" i="4" s="1"/>
  <c r="F88" i="4"/>
  <c r="L88" i="4" s="1"/>
  <c r="N91" i="4" l="1"/>
</calcChain>
</file>

<file path=xl/sharedStrings.xml><?xml version="1.0" encoding="utf-8"?>
<sst xmlns="http://schemas.openxmlformats.org/spreadsheetml/2006/main" count="337" uniqueCount="183">
  <si>
    <t>The collateral rule by hand: the whole project on a tiny task</t>
  </si>
  <si>
    <t>Each sheet is one step. Work through them in order: 1 Task, 2 One head, 3 Two heads, 4 Why R heads,</t>
  </si>
  <si>
    <t>5 Collateral value, 6 The rule, 7 Backup heads.</t>
  </si>
  <si>
    <t>Colours:  yellow = an input you may change (blue numbers)   blue = left matrix   orange = top matrix</t>
  </si>
  <si>
    <t xml:space="preserve">          green = the product (a formula)   grey = other computed cells</t>
  </si>
  <si>
    <t>How to read an L-shape. To multiply A times B, put B above and to the right, A below and to the left.</t>
  </si>
  <si>
    <t>Each green cell sits in A's row and B's column: multiply them entry by entry and add. Try it below,</t>
  </si>
  <si>
    <t>then click any green cell to see the formula Excel uses: it is exactly your hand calculation.</t>
  </si>
  <si>
    <t>B</t>
  </si>
  <si>
    <t>col 1</t>
  </si>
  <si>
    <t>col 2</t>
  </si>
  <si>
    <t>A</t>
  </si>
  <si>
    <t>row 1</t>
  </si>
  <si>
    <t>row 2</t>
  </si>
  <si>
    <t>A B</t>
  </si>
  <si>
    <t>By hand: row 1 times col 1 = 1*5 + 2*7 = 19.   row 2 times col 2 = 3*6 + 4*8 = 50.</t>
  </si>
  <si>
    <t>The tiny task: 4 memory slots, 2 distances (1 and 3), one number per item. The real experiments use</t>
  </si>
  <si>
    <t>16 slots, 4 distances (1, 5, 9, 13), 16 numbers per item and 32 heads: same steps, bigger matrices.</t>
  </si>
  <si>
    <t>Step 1. The task</t>
  </si>
  <si>
    <t>A memory of 4 slots holds one item each. A query names a position p and must return the items</t>
  </si>
  <si>
    <t>1 and 3 slots ahead, counting round like a clock (mod 4). Change the yellow cells and watch the targets.</t>
  </si>
  <si>
    <t>slot j</t>
  </si>
  <si>
    <t>item c_j</t>
  </si>
  <si>
    <t>query i</t>
  </si>
  <si>
    <t>p</t>
  </si>
  <si>
    <t>p + 1</t>
  </si>
  <si>
    <t>(p+1) mod 4</t>
  </si>
  <si>
    <t>target 1</t>
  </si>
  <si>
    <t>p + 3</t>
  </si>
  <si>
    <t>(p+3) mod 4</t>
  </si>
  <si>
    <t>target 2</t>
  </si>
  <si>
    <t>target 1 = the item in slot (p+1) mod 4;  target 2 = the item in slot (p+3) mod 4.</t>
  </si>
  <si>
    <t>By hand: query 0 has p = 2. (2+1) mod 4 = 3, so target 1 = c_3 = 6. (2+3) mod 4 = 1, so target 2 = c_1 = 1.</t>
  </si>
  <si>
    <t>Why mod: without it p = 2 would need slot 5, which does not exist. Wrapping round gives every query</t>
  </si>
  <si>
    <t>both answers inside the memory, and 'look 1 ahead' is the same rule at every position.</t>
  </si>
  <si>
    <t>As matrices (used on the next sheets): memory row j = [one-hot of j | c_j], query row i = one-hot of p_i,</t>
  </si>
  <si>
    <t>target row i = [c_(p+1) | c_(p+3)]. The real code adds a little noise to every vector.</t>
  </si>
  <si>
    <t>Step 2. One attention head, built by hand (it looks 1 slot ahead)</t>
  </si>
  <si>
    <t>Follow (a) to (f). The head scores every slot, turns the scores into weights that add up to 1, and</t>
  </si>
  <si>
    <t>returns the weighted average of the items. Try: change W_Q so the 1s move, or lower the sharpness to 1.</t>
  </si>
  <si>
    <t>(a) Keys: K = Y W_K. W_K keeps each slot's label and ignores its item, so key j = one-hot of j.</t>
  </si>
  <si>
    <t>W_K</t>
  </si>
  <si>
    <t>k0</t>
  </si>
  <si>
    <t>k1</t>
  </si>
  <si>
    <t>k2</t>
  </si>
  <si>
    <t>k3</t>
  </si>
  <si>
    <t>Y (memory)</t>
  </si>
  <si>
    <t>slot 0</t>
  </si>
  <si>
    <t>slot 1</t>
  </si>
  <si>
    <t>slot 2</t>
  </si>
  <si>
    <t>slot 3</t>
  </si>
  <si>
    <t>K = Y W_K</t>
  </si>
  <si>
    <t>(b) Values: V = Y W_V. W_V keeps only the item, so value j = c_j.</t>
  </si>
  <si>
    <t>W_V</t>
  </si>
  <si>
    <t>v</t>
  </si>
  <si>
    <t>V = Y W_V</t>
  </si>
  <si>
    <t>(c) Queries: Q = X W_Q. Row t of W_Q has its 1 in column (t + 1) mod 4, so the query for p becomes one-hot of p + 1: this head looks 1 ahead.</t>
  </si>
  <si>
    <t>W_Q (shift by 1)</t>
  </si>
  <si>
    <t>q0</t>
  </si>
  <si>
    <t>q1</t>
  </si>
  <si>
    <t>q2</t>
  </si>
  <si>
    <t>q3</t>
  </si>
  <si>
    <t>X (queries, one-hot of p)</t>
  </si>
  <si>
    <t>p = 2</t>
  </si>
  <si>
    <t>p = 0</t>
  </si>
  <si>
    <t>p = 3</t>
  </si>
  <si>
    <t>p = 1</t>
  </si>
  <si>
    <t>Q = X W_Q</t>
  </si>
  <si>
    <t>(d) Scores: S = Q K^T. Row i, column j = query i dotted with key j: 1 where j = p + shift.</t>
  </si>
  <si>
    <t>K^T (K turned on its side)</t>
  </si>
  <si>
    <t>Q (copied)</t>
  </si>
  <si>
    <t>S = Q K^T</t>
  </si>
  <si>
    <t>(e) Attention = softmax of (sharpness x S), row by row: e^(sharpness x score) / sum of the row's.</t>
  </si>
  <si>
    <t>sharpness</t>
  </si>
  <si>
    <t>attention</t>
  </si>
  <si>
    <t>row sum</t>
  </si>
  <si>
    <t>(f) Output: O = attention x V, a weighted average of the items. Compare with the target.</t>
  </si>
  <si>
    <t>V (copied)</t>
  </si>
  <si>
    <t>out</t>
  </si>
  <si>
    <t>attention (copied)</t>
  </si>
  <si>
    <t>target c(p+1)</t>
  </si>
  <si>
    <t>O_1</t>
  </si>
  <si>
    <t>Step 3. A second head (looks 3 ahead), then both heads through their valves</t>
  </si>
  <si>
    <t>Head 2 is built exactly like head 1; only W_Q differs (shift by 3). Its output is at the bottom of (f).</t>
  </si>
  <si>
    <t>(c) Queries: Q = X W_Q. Row t of W_Q has its 1 in column (t + 3) mod 4, so the query for p becomes one-hot of p + 3: this head looks 3 ahead.</t>
  </si>
  <si>
    <t>W_Q (shift by 3)</t>
  </si>
  <si>
    <t>target c(p+3)</t>
  </si>
  <si>
    <t>O_2</t>
  </si>
  <si>
    <t>(g) Valves and read-out: prediction = [g_1 O_1 | g_2 O_2] W_O. This is the line out * gate in the code.</t>
  </si>
  <si>
    <t>valve g_1</t>
  </si>
  <si>
    <t>valve g_2</t>
  </si>
  <si>
    <t>W_O</t>
  </si>
  <si>
    <t>ans 1</t>
  </si>
  <si>
    <t>ans 2</t>
  </si>
  <si>
    <t>[g_1 O_1 | g_2 O_2]</t>
  </si>
  <si>
    <t>target</t>
  </si>
  <si>
    <t>squared error</t>
  </si>
  <si>
    <t>prediction</t>
  </si>
  <si>
    <t>loss (average)</t>
  </si>
  <si>
    <t>Try: set valve g_2 to 0. Column 2 of the prediction becomes 0 whatever head 2 computes, and the loss</t>
  </si>
  <si>
    <t>jumps. A head with its valve at 0 is removed exactly: it adds nothing, so training sends it no gradient.</t>
  </si>
  <si>
    <t>Step 4. One head, one equation: why the task needs exactly R heads</t>
  </si>
  <si>
    <t>A head returns ONE weighted average of the items: one equation in the unknown items. Take query 0's two</t>
  </si>
  <si>
    <t>unknowns a = c(p+1) and b = c(p+3). Each row of the mixing matrix is one head's recipe.</t>
  </si>
  <si>
    <t>unknowns (a; b)</t>
  </si>
  <si>
    <t>value</t>
  </si>
  <si>
    <t>mixing (one row per head)</t>
  </si>
  <si>
    <t>head 1</t>
  </si>
  <si>
    <t>head 2</t>
  </si>
  <si>
    <t>what the heads hand back</t>
  </si>
  <si>
    <t>Can we get a and b back from the two values? Only if the two recipes are different:</t>
  </si>
  <si>
    <t>determinant = m11 m22 - m12 m21</t>
  </si>
  <si>
    <t>recovered a</t>
  </si>
  <si>
    <t>recovered b</t>
  </si>
  <si>
    <t>Try: (1) mixing rows (0.5, 0.5) and (0.5, -0.5): still recovered. (2) make head 2 a copy of head 1:</t>
  </si>
  <si>
    <t>determinant 0, 'cannot'. Two copies give the same equation twice, so they count once.</t>
  </si>
  <si>
    <t>So with k different heads you can recover k of the R items; the rest stay unknown, and the best loss is</t>
  </si>
  <si>
    <t>(1 - k/R) x the loss of a model that learned nothing. Checked on a trained model (R = 4, real task):</t>
  </si>
  <si>
    <t>different heads k</t>
  </si>
  <si>
    <t>measured loss</t>
  </si>
  <si>
    <t>predicted (1 - k/4) x 1.008</t>
  </si>
  <si>
    <t>Source of the measured losses: results/proposal/equations.pkl (experiments/equations_test.py).</t>
  </si>
  <si>
    <t>Step 5. The collateral value: what nobody else can cover</t>
  </si>
  <si>
    <t>Three trained heads. Head A looks 1 ahead, head B looks 3 ahead, head C is an exact COPY of A. Their</t>
  </si>
  <si>
    <t>outputs are the items they fetch (as in steps 2 and 3). The read-out W_O turns them into the two answers.</t>
  </si>
  <si>
    <t>A head's collateral value = how much the loss rises when it is removed AND the others re-fit W_O.</t>
  </si>
  <si>
    <t>Case 1. All heads on.</t>
  </si>
  <si>
    <t>valves g_A, g_B, g_C</t>
  </si>
  <si>
    <t>[g_A A | g_B B | g_C C]</t>
  </si>
  <si>
    <t>loss</t>
  </si>
  <si>
    <t>Case 2. A off, W_O unchanged (ordinary importance: nobody re-fits).</t>
  </si>
  <si>
    <t>Case 3. A off, W_O re-fitted by hand: C takes A's weight (collateral value of A).</t>
  </si>
  <si>
    <t>Case 4. B off, best re-fit: nobody else carries c(p+3), so its column gets weight 0 (collateral value of B).</t>
  </si>
  <si>
    <t>Check of case 4: the best weight for answer 2 on head A's output is sum(A x B) / sum(A x A):</t>
  </si>
  <si>
    <t>It is 0 for these items, so A (and its copy C) can cover nothing of B's job.</t>
  </si>
  <si>
    <t>Summary</t>
  </si>
  <si>
    <t>head</t>
  </si>
  <si>
    <t>ordinary importance (no re-fit)</t>
  </si>
  <si>
    <t>collateral value (re-fit)</t>
  </si>
  <si>
    <t>C (copy of A)</t>
  </si>
  <si>
    <t>Ordinary importance says A and C both matter (removing either alone hurts). The collateral value says</t>
  </si>
  <si>
    <t>each is worth 0, because its copy covers it. Only B is irreplaceable. That is why the rule removes copies.</t>
  </si>
  <si>
    <t>Step 6. The rule: close the cheapest head while it is worth less than the price</t>
  </si>
  <si>
    <t>Every 25 training steps: value every open head, close the cheapest if its value is below the price,</t>
  </si>
  <si>
    <t>and fade it out slowly. Repeat until every open head is worth more than the price.</t>
  </si>
  <si>
    <t>price</t>
  </si>
  <si>
    <t>Round 1 (all three heads open)</t>
  </si>
  <si>
    <t>C</t>
  </si>
  <si>
    <t>cheapest</t>
  </si>
  <si>
    <t>decision</t>
  </si>
  <si>
    <t>Round 2 (A closed). Now C is the only head carrying c(p+1), so removing C would lose answer 1 entirely:</t>
  </si>
  <si>
    <t>closed</t>
  </si>
  <si>
    <t>(stop = every open head is worth more than the price)</t>
  </si>
  <si>
    <t>C's value in round 2 = average over both answers of c(p+1)^2 = sum of c(p+1)^2 / 8.</t>
  </si>
  <si>
    <t>Result: B and C stay, 2 heads for a 2-distance task. Nobody told the rule the answer is 2.</t>
  </si>
  <si>
    <t>Try: raise the price above both round-2 values. The rule then closes a needed head and the task breaks.</t>
  </si>
  <si>
    <t>Lower it to 0: nothing is ever closed. In the experiments the price is 3% of a know-nothing model's loss.</t>
  </si>
  <si>
    <t>In training, a closed head fades out over 100 steps, so the other heads adjust while it goes.</t>
  </si>
  <si>
    <t>Step 7. Backup heads when heads can fail</t>
  </si>
  <si>
    <t>If every head fails (valve forced to 0) with chance p at each step, a spare head is worth keeping when it</t>
  </si>
  <si>
    <t>is likely to be needed: it works AND fewer than R of the other heads work. Its value with B heads open:</t>
  </si>
  <si>
    <t>v(B) = (1 - p) / R x P[ Binomial(B - 1, 1 - p) &lt;= R - 1 ]</t>
  </si>
  <si>
    <t>R (heads needed)</t>
  </si>
  <si>
    <t>p (chance a head fails)</t>
  </si>
  <si>
    <t>price (fraction of a know-nothing loss)</t>
  </si>
  <si>
    <t>B heads open</t>
  </si>
  <si>
    <t>P[fewer than R others work]</t>
  </si>
  <si>
    <t>value v(B)</t>
  </si>
  <si>
    <t>keep?</t>
  </si>
  <si>
    <t>predicted heads kept</t>
  </si>
  <si>
    <t>By hand (R = 4, p = 0.1): B = 5 needs 'fewer than 4 of the other 4 work' = 1 - 0.9^4 = 0.344,</t>
  </si>
  <si>
    <t>so v(5) = 0.9/4 x 0.344 = 0.077 &gt; 0.03: keep. B = 6 gives 0.018 &lt; 0.03: drop. Predicted: 5 heads.</t>
  </si>
  <si>
    <t>Measured in training (3 seeds each), written down BEFORE the runs:</t>
  </si>
  <si>
    <t>R</t>
  </si>
  <si>
    <t>measured heads kept</t>
  </si>
  <si>
    <t>3, 3, 3</t>
  </si>
  <si>
    <t>4, 4, 4</t>
  </si>
  <si>
    <t>5, 4, 5</t>
  </si>
  <si>
    <t>5, 5, 4</t>
  </si>
  <si>
    <t>5, 5, 5</t>
  </si>
  <si>
    <t>6, 6, 6</t>
  </si>
  <si>
    <t>7, 7, 7</t>
  </si>
  <si>
    <t>Source: results/robust (experiments/run.py with --head_dropout). Put R and p above to compare.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</si>
</sst>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595959"/>
      <name val="Arial"/>
    </font>
    <font>
      <sz val="10"/>
      <color rgb="FF0000FF"/>
      <name val="Arial"/>
    </font>
    <font>
      <i/>
      <sz val="10"/>
      <color rgb="FF000000"/>
      <name val="Arial"/>
    </font>
    <font>
      <i/>
      <sz val="10"/>
      <color rgb="FF595959"/>
      <name val="Arial"/>
    </font>
  </fonts>
  <fills count="7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4"/>
  <sheetViews>
    <sheetView showGridLines="0" tabSelected="1" workbookViewId="0"/>
  </sheetViews>
  <sheetFormatPr defaultRowHeight="15" x14ac:dyDescent="0.25"/>
  <cols>
    <col min="1" max="1" width="2.42578125" customWidth="1"/>
    <col min="2" max="39" width="8.42578125" customWidth="1"/>
  </cols>
  <sheetData>
    <row r="1" spans="2:7" ht="18" x14ac:dyDescent="0.25">
      <c r="B1" s="1" t="s">
        <v>0</v>
      </c>
    </row>
    <row r="3" spans="2:7" x14ac:dyDescent="0.25">
      <c r="B3" s="2" t="s">
        <v>1</v>
      </c>
    </row>
    <row r="4" spans="2:7" x14ac:dyDescent="0.25">
      <c r="B4" s="2" t="s">
        <v>2</v>
      </c>
    </row>
    <row r="5" spans="2:7" x14ac:dyDescent="0.25">
      <c r="B5" s="2"/>
    </row>
    <row r="6" spans="2:7" x14ac:dyDescent="0.25">
      <c r="B6" s="2" t="s">
        <v>3</v>
      </c>
    </row>
    <row r="7" spans="2:7" x14ac:dyDescent="0.25">
      <c r="B7" s="2" t="s">
        <v>4</v>
      </c>
    </row>
    <row r="8" spans="2:7" x14ac:dyDescent="0.25">
      <c r="B8" s="2"/>
    </row>
    <row r="9" spans="2:7" x14ac:dyDescent="0.25">
      <c r="B9" s="2" t="s">
        <v>5</v>
      </c>
    </row>
    <row r="10" spans="2:7" x14ac:dyDescent="0.25">
      <c r="B10" s="2" t="s">
        <v>6</v>
      </c>
    </row>
    <row r="11" spans="2:7" x14ac:dyDescent="0.25">
      <c r="B11" s="2" t="s">
        <v>7</v>
      </c>
    </row>
    <row r="13" spans="2:7" x14ac:dyDescent="0.25">
      <c r="F13" s="3" t="s">
        <v>8</v>
      </c>
    </row>
    <row r="14" spans="2:7" x14ac:dyDescent="0.25">
      <c r="F14" s="4" t="s">
        <v>9</v>
      </c>
      <c r="G14" s="4" t="s">
        <v>10</v>
      </c>
    </row>
    <row r="15" spans="2:7" x14ac:dyDescent="0.25">
      <c r="F15" s="5">
        <v>5</v>
      </c>
      <c r="G15" s="5">
        <v>6</v>
      </c>
    </row>
    <row r="16" spans="2:7" x14ac:dyDescent="0.25">
      <c r="C16" s="3" t="s">
        <v>11</v>
      </c>
      <c r="F16" s="5">
        <v>7</v>
      </c>
      <c r="G16" s="5">
        <v>8</v>
      </c>
    </row>
    <row r="17" spans="2:7" x14ac:dyDescent="0.25">
      <c r="B17" s="4" t="s">
        <v>12</v>
      </c>
      <c r="C17" s="6">
        <v>1</v>
      </c>
      <c r="D17" s="6">
        <v>2</v>
      </c>
      <c r="F17" s="7">
        <f>C17*F15+D17*F16</f>
        <v>19</v>
      </c>
      <c r="G17" s="7">
        <f>C17*G15+D17*G16</f>
        <v>22</v>
      </c>
    </row>
    <row r="18" spans="2:7" x14ac:dyDescent="0.25">
      <c r="B18" s="4" t="s">
        <v>13</v>
      </c>
      <c r="C18" s="6">
        <v>3</v>
      </c>
      <c r="D18" s="6">
        <v>4</v>
      </c>
      <c r="F18" s="7">
        <f>C18*F15+D18*F16</f>
        <v>43</v>
      </c>
      <c r="G18" s="7">
        <f>C18*G15+D18*G16</f>
        <v>50</v>
      </c>
    </row>
    <row r="19" spans="2:7" x14ac:dyDescent="0.25">
      <c r="F19" s="3" t="s">
        <v>14</v>
      </c>
    </row>
    <row r="21" spans="2:7" x14ac:dyDescent="0.25">
      <c r="B21" s="2" t="s">
        <v>15</v>
      </c>
    </row>
    <row r="23" spans="2:7" x14ac:dyDescent="0.25">
      <c r="B23" s="2" t="s">
        <v>16</v>
      </c>
    </row>
    <row r="24" spans="2:7" x14ac:dyDescent="0.25">
      <c r="B24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0"/>
  <sheetViews>
    <sheetView showGridLines="0" workbookViewId="0"/>
  </sheetViews>
  <sheetFormatPr defaultRowHeight="15" x14ac:dyDescent="0.25"/>
  <cols>
    <col min="1" max="1" width="2.42578125" customWidth="1"/>
    <col min="2" max="39" width="12" customWidth="1"/>
  </cols>
  <sheetData>
    <row r="1" spans="2:9" ht="18" x14ac:dyDescent="0.25">
      <c r="B1" s="1" t="s">
        <v>18</v>
      </c>
    </row>
    <row r="2" spans="2:9" x14ac:dyDescent="0.25">
      <c r="B2" s="2" t="s">
        <v>19</v>
      </c>
    </row>
    <row r="3" spans="2:9" x14ac:dyDescent="0.25">
      <c r="B3" s="2" t="s">
        <v>20</v>
      </c>
    </row>
    <row r="5" spans="2:9" x14ac:dyDescent="0.25">
      <c r="B5" s="2" t="s">
        <v>21</v>
      </c>
      <c r="C5" s="8">
        <v>0</v>
      </c>
      <c r="D5" s="8">
        <v>1</v>
      </c>
      <c r="E5" s="8">
        <v>2</v>
      </c>
      <c r="F5" s="8">
        <v>3</v>
      </c>
    </row>
    <row r="6" spans="2:9" x14ac:dyDescent="0.25">
      <c r="B6" s="2" t="s">
        <v>22</v>
      </c>
      <c r="C6" s="9">
        <v>2</v>
      </c>
      <c r="D6" s="9">
        <v>1</v>
      </c>
      <c r="E6" s="9">
        <v>-3</v>
      </c>
      <c r="F6" s="9">
        <v>6</v>
      </c>
    </row>
    <row r="9" spans="2:9" x14ac:dyDescent="0.25"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</row>
    <row r="10" spans="2:9" x14ac:dyDescent="0.25">
      <c r="B10" s="8">
        <v>0</v>
      </c>
      <c r="C10" s="9">
        <v>2</v>
      </c>
      <c r="D10" s="8">
        <f>C10+1</f>
        <v>3</v>
      </c>
      <c r="E10" s="8">
        <f>MOD(D10,4)</f>
        <v>3</v>
      </c>
      <c r="F10" s="7">
        <f>INDEX($C$6:$F$6,E10+1)</f>
        <v>6</v>
      </c>
      <c r="G10" s="8">
        <f>C10+3</f>
        <v>5</v>
      </c>
      <c r="H10" s="8">
        <f>MOD(G10,4)</f>
        <v>1</v>
      </c>
      <c r="I10" s="7">
        <f>INDEX($C$6:$F$6,H10+1)</f>
        <v>1</v>
      </c>
    </row>
    <row r="11" spans="2:9" x14ac:dyDescent="0.25">
      <c r="B11" s="8">
        <v>1</v>
      </c>
      <c r="C11" s="9">
        <v>0</v>
      </c>
      <c r="D11" s="8">
        <f>C11+1</f>
        <v>1</v>
      </c>
      <c r="E11" s="8">
        <f>MOD(D11,4)</f>
        <v>1</v>
      </c>
      <c r="F11" s="7">
        <f>INDEX($C$6:$F$6,E11+1)</f>
        <v>1</v>
      </c>
      <c r="G11" s="8">
        <f>C11+3</f>
        <v>3</v>
      </c>
      <c r="H11" s="8">
        <f>MOD(G11,4)</f>
        <v>3</v>
      </c>
      <c r="I11" s="7">
        <f>INDEX($C$6:$F$6,H11+1)</f>
        <v>6</v>
      </c>
    </row>
    <row r="12" spans="2:9" x14ac:dyDescent="0.25">
      <c r="B12" s="8">
        <v>2</v>
      </c>
      <c r="C12" s="9">
        <v>3</v>
      </c>
      <c r="D12" s="8">
        <f>C12+1</f>
        <v>4</v>
      </c>
      <c r="E12" s="8">
        <f>MOD(D12,4)</f>
        <v>0</v>
      </c>
      <c r="F12" s="7">
        <f>INDEX($C$6:$F$6,E12+1)</f>
        <v>2</v>
      </c>
      <c r="G12" s="8">
        <f>C12+3</f>
        <v>6</v>
      </c>
      <c r="H12" s="8">
        <f>MOD(G12,4)</f>
        <v>2</v>
      </c>
      <c r="I12" s="7">
        <f>INDEX($C$6:$F$6,H12+1)</f>
        <v>-3</v>
      </c>
    </row>
    <row r="13" spans="2:9" x14ac:dyDescent="0.25">
      <c r="B13" s="8">
        <v>3</v>
      </c>
      <c r="C13" s="9">
        <v>1</v>
      </c>
      <c r="D13" s="8">
        <f>C13+1</f>
        <v>2</v>
      </c>
      <c r="E13" s="8">
        <f>MOD(D13,4)</f>
        <v>2</v>
      </c>
      <c r="F13" s="7">
        <f>INDEX($C$6:$F$6,E13+1)</f>
        <v>-3</v>
      </c>
      <c r="G13" s="8">
        <f>C13+3</f>
        <v>4</v>
      </c>
      <c r="H13" s="8">
        <f>MOD(G13,4)</f>
        <v>0</v>
      </c>
      <c r="I13" s="7">
        <f>INDEX($C$6:$F$6,H13+1)</f>
        <v>2</v>
      </c>
    </row>
    <row r="14" spans="2:9" x14ac:dyDescent="0.25">
      <c r="B14" s="10" t="s">
        <v>31</v>
      </c>
    </row>
    <row r="15" spans="2:9" x14ac:dyDescent="0.25">
      <c r="B15" s="2" t="s">
        <v>32</v>
      </c>
    </row>
    <row r="16" spans="2:9" x14ac:dyDescent="0.25">
      <c r="B16" s="2" t="s">
        <v>33</v>
      </c>
    </row>
    <row r="17" spans="2:2" x14ac:dyDescent="0.25">
      <c r="B17" s="2" t="s">
        <v>34</v>
      </c>
    </row>
    <row r="19" spans="2:2" x14ac:dyDescent="0.25">
      <c r="B19" s="2" t="s">
        <v>35</v>
      </c>
    </row>
    <row r="20" spans="2:2" x14ac:dyDescent="0.25">
      <c r="B20" s="2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78"/>
  <sheetViews>
    <sheetView showGridLines="0" workbookViewId="0"/>
  </sheetViews>
  <sheetFormatPr defaultRowHeight="15" x14ac:dyDescent="0.25"/>
  <cols>
    <col min="1" max="1" width="2.42578125" customWidth="1"/>
    <col min="2" max="39" width="8.42578125" customWidth="1"/>
  </cols>
  <sheetData>
    <row r="1" spans="2:12" ht="18" x14ac:dyDescent="0.25">
      <c r="B1" s="1" t="s">
        <v>37</v>
      </c>
    </row>
    <row r="2" spans="2:12" x14ac:dyDescent="0.25">
      <c r="B2" s="2" t="s">
        <v>38</v>
      </c>
    </row>
    <row r="3" spans="2:12" x14ac:dyDescent="0.25">
      <c r="B3" s="2" t="s">
        <v>39</v>
      </c>
    </row>
    <row r="5" spans="2:12" x14ac:dyDescent="0.25">
      <c r="B5" s="10" t="s">
        <v>40</v>
      </c>
    </row>
    <row r="6" spans="2:12" x14ac:dyDescent="0.25">
      <c r="I6" s="3" t="s">
        <v>41</v>
      </c>
    </row>
    <row r="7" spans="2:12" x14ac:dyDescent="0.25">
      <c r="I7" s="4" t="s">
        <v>42</v>
      </c>
      <c r="J7" s="4" t="s">
        <v>43</v>
      </c>
      <c r="K7" s="4" t="s">
        <v>44</v>
      </c>
      <c r="L7" s="4" t="s">
        <v>45</v>
      </c>
    </row>
    <row r="8" spans="2:12" x14ac:dyDescent="0.25">
      <c r="I8" s="5">
        <v>1</v>
      </c>
      <c r="J8" s="5">
        <v>0</v>
      </c>
      <c r="K8" s="5">
        <v>0</v>
      </c>
      <c r="L8" s="5">
        <v>0</v>
      </c>
    </row>
    <row r="9" spans="2:12" x14ac:dyDescent="0.25">
      <c r="I9" s="5">
        <v>0</v>
      </c>
      <c r="J9" s="5">
        <v>1</v>
      </c>
      <c r="K9" s="5">
        <v>0</v>
      </c>
      <c r="L9" s="5">
        <v>0</v>
      </c>
    </row>
    <row r="10" spans="2:12" x14ac:dyDescent="0.25">
      <c r="I10" s="5">
        <v>0</v>
      </c>
      <c r="J10" s="5">
        <v>0</v>
      </c>
      <c r="K10" s="5">
        <v>1</v>
      </c>
      <c r="L10" s="5">
        <v>0</v>
      </c>
    </row>
    <row r="11" spans="2:12" x14ac:dyDescent="0.25">
      <c r="I11" s="5">
        <v>0</v>
      </c>
      <c r="J11" s="5">
        <v>0</v>
      </c>
      <c r="K11" s="5">
        <v>0</v>
      </c>
      <c r="L11" s="5">
        <v>1</v>
      </c>
    </row>
    <row r="12" spans="2:12" x14ac:dyDescent="0.25">
      <c r="C12" s="3" t="s">
        <v>46</v>
      </c>
      <c r="I12" s="5">
        <v>0</v>
      </c>
      <c r="J12" s="5">
        <v>0</v>
      </c>
      <c r="K12" s="5">
        <v>0</v>
      </c>
      <c r="L12" s="5">
        <v>0</v>
      </c>
    </row>
    <row r="13" spans="2:12" x14ac:dyDescent="0.25">
      <c r="B13" s="4" t="s">
        <v>47</v>
      </c>
      <c r="C13" s="11">
        <v>1</v>
      </c>
      <c r="D13" s="11">
        <v>0</v>
      </c>
      <c r="E13" s="11">
        <v>0</v>
      </c>
      <c r="F13" s="11">
        <v>0</v>
      </c>
      <c r="G13" s="11">
        <f>'1 Task'!$C$6</f>
        <v>2</v>
      </c>
      <c r="I13" s="7">
        <f>C13*I8+D13*I9+E13*I10+F13*I11+G13*I12</f>
        <v>1</v>
      </c>
      <c r="J13" s="7">
        <f>C13*J8+D13*J9+E13*J10+F13*J11+G13*J12</f>
        <v>0</v>
      </c>
      <c r="K13" s="7">
        <f>C13*K8+D13*K9+E13*K10+F13*K11+G13*K12</f>
        <v>0</v>
      </c>
      <c r="L13" s="7">
        <f>C13*L8+D13*L9+E13*L10+F13*L11+G13*L12</f>
        <v>0</v>
      </c>
    </row>
    <row r="14" spans="2:12" x14ac:dyDescent="0.25">
      <c r="B14" s="4" t="s">
        <v>48</v>
      </c>
      <c r="C14" s="11">
        <v>0</v>
      </c>
      <c r="D14" s="11">
        <v>1</v>
      </c>
      <c r="E14" s="11">
        <v>0</v>
      </c>
      <c r="F14" s="11">
        <v>0</v>
      </c>
      <c r="G14" s="11">
        <f>'1 Task'!$D$6</f>
        <v>1</v>
      </c>
      <c r="I14" s="7">
        <f>C14*I8+D14*I9+E14*I10+F14*I11+G14*I12</f>
        <v>0</v>
      </c>
      <c r="J14" s="7">
        <f>C14*J8+D14*J9+E14*J10+F14*J11+G14*J12</f>
        <v>1</v>
      </c>
      <c r="K14" s="7">
        <f>C14*K8+D14*K9+E14*K10+F14*K11+G14*K12</f>
        <v>0</v>
      </c>
      <c r="L14" s="7">
        <f>C14*L8+D14*L9+E14*L10+F14*L11+G14*L12</f>
        <v>0</v>
      </c>
    </row>
    <row r="15" spans="2:12" x14ac:dyDescent="0.25">
      <c r="B15" s="4" t="s">
        <v>49</v>
      </c>
      <c r="C15" s="11">
        <v>0</v>
      </c>
      <c r="D15" s="11">
        <v>0</v>
      </c>
      <c r="E15" s="11">
        <v>1</v>
      </c>
      <c r="F15" s="11">
        <v>0</v>
      </c>
      <c r="G15" s="11">
        <f>'1 Task'!$E$6</f>
        <v>-3</v>
      </c>
      <c r="I15" s="7">
        <f>C15*I8+D15*I9+E15*I10+F15*I11+G15*I12</f>
        <v>0</v>
      </c>
      <c r="J15" s="7">
        <f>C15*J8+D15*J9+E15*J10+F15*J11+G15*J12</f>
        <v>0</v>
      </c>
      <c r="K15" s="7">
        <f>C15*K8+D15*K9+E15*K10+F15*K11+G15*K12</f>
        <v>1</v>
      </c>
      <c r="L15" s="7">
        <f>C15*L8+D15*L9+E15*L10+F15*L11+G15*L12</f>
        <v>0</v>
      </c>
    </row>
    <row r="16" spans="2:12" x14ac:dyDescent="0.25">
      <c r="B16" s="4" t="s">
        <v>50</v>
      </c>
      <c r="C16" s="11">
        <v>0</v>
      </c>
      <c r="D16" s="11">
        <v>0</v>
      </c>
      <c r="E16" s="11">
        <v>0</v>
      </c>
      <c r="F16" s="11">
        <v>1</v>
      </c>
      <c r="G16" s="11">
        <f>'1 Task'!$F$6</f>
        <v>6</v>
      </c>
      <c r="I16" s="7">
        <f>C16*I8+D16*I9+E16*I10+F16*I11+G16*I12</f>
        <v>0</v>
      </c>
      <c r="J16" s="7">
        <f>C16*J8+D16*J9+E16*J10+F16*J11+G16*J12</f>
        <v>0</v>
      </c>
      <c r="K16" s="7">
        <f>C16*K8+D16*K9+E16*K10+F16*K11+G16*K12</f>
        <v>0</v>
      </c>
      <c r="L16" s="7">
        <f>C16*L8+D16*L9+E16*L10+F16*L11+G16*L12</f>
        <v>1</v>
      </c>
    </row>
    <row r="17" spans="2:9" x14ac:dyDescent="0.25">
      <c r="I17" s="3" t="s">
        <v>51</v>
      </c>
    </row>
    <row r="19" spans="2:9" x14ac:dyDescent="0.25">
      <c r="B19" s="10" t="s">
        <v>52</v>
      </c>
    </row>
    <row r="20" spans="2:9" x14ac:dyDescent="0.25">
      <c r="I20" s="3" t="s">
        <v>53</v>
      </c>
    </row>
    <row r="21" spans="2:9" x14ac:dyDescent="0.25">
      <c r="I21" s="4" t="s">
        <v>54</v>
      </c>
    </row>
    <row r="22" spans="2:9" x14ac:dyDescent="0.25">
      <c r="I22" s="5">
        <v>0</v>
      </c>
    </row>
    <row r="23" spans="2:9" x14ac:dyDescent="0.25">
      <c r="I23" s="5">
        <v>0</v>
      </c>
    </row>
    <row r="24" spans="2:9" x14ac:dyDescent="0.25">
      <c r="I24" s="5">
        <v>0</v>
      </c>
    </row>
    <row r="25" spans="2:9" x14ac:dyDescent="0.25">
      <c r="I25" s="5">
        <v>0</v>
      </c>
    </row>
    <row r="26" spans="2:9" x14ac:dyDescent="0.25">
      <c r="C26" s="3" t="s">
        <v>46</v>
      </c>
      <c r="I26" s="5">
        <v>1</v>
      </c>
    </row>
    <row r="27" spans="2:9" x14ac:dyDescent="0.25">
      <c r="B27" s="4" t="s">
        <v>47</v>
      </c>
      <c r="C27" s="11">
        <v>1</v>
      </c>
      <c r="D27" s="11">
        <v>0</v>
      </c>
      <c r="E27" s="11">
        <v>0</v>
      </c>
      <c r="F27" s="11">
        <v>0</v>
      </c>
      <c r="G27" s="11">
        <f>'1 Task'!$C$6</f>
        <v>2</v>
      </c>
      <c r="I27" s="7">
        <f>C27*I22+D27*I23+E27*I24+F27*I25+G27*I26</f>
        <v>2</v>
      </c>
    </row>
    <row r="28" spans="2:9" x14ac:dyDescent="0.25">
      <c r="B28" s="4" t="s">
        <v>48</v>
      </c>
      <c r="C28" s="11">
        <v>0</v>
      </c>
      <c r="D28" s="11">
        <v>1</v>
      </c>
      <c r="E28" s="11">
        <v>0</v>
      </c>
      <c r="F28" s="11">
        <v>0</v>
      </c>
      <c r="G28" s="11">
        <f>'1 Task'!$D$6</f>
        <v>1</v>
      </c>
      <c r="I28" s="7">
        <f>C28*I22+D28*I23+E28*I24+F28*I25+G28*I26</f>
        <v>1</v>
      </c>
    </row>
    <row r="29" spans="2:9" x14ac:dyDescent="0.25">
      <c r="B29" s="4" t="s">
        <v>49</v>
      </c>
      <c r="C29" s="11">
        <v>0</v>
      </c>
      <c r="D29" s="11">
        <v>0</v>
      </c>
      <c r="E29" s="11">
        <v>1</v>
      </c>
      <c r="F29" s="11">
        <v>0</v>
      </c>
      <c r="G29" s="11">
        <f>'1 Task'!$E$6</f>
        <v>-3</v>
      </c>
      <c r="I29" s="7">
        <f>C29*I22+D29*I23+E29*I24+F29*I25+G29*I26</f>
        <v>-3</v>
      </c>
    </row>
    <row r="30" spans="2:9" x14ac:dyDescent="0.25">
      <c r="B30" s="4" t="s">
        <v>50</v>
      </c>
      <c r="C30" s="11">
        <v>0</v>
      </c>
      <c r="D30" s="11">
        <v>0</v>
      </c>
      <c r="E30" s="11">
        <v>0</v>
      </c>
      <c r="F30" s="11">
        <v>1</v>
      </c>
      <c r="G30" s="11">
        <f>'1 Task'!$F$6</f>
        <v>6</v>
      </c>
      <c r="I30" s="7">
        <f>C30*I22+D30*I23+E30*I24+F30*I25+G30*I26</f>
        <v>6</v>
      </c>
    </row>
    <row r="31" spans="2:9" x14ac:dyDescent="0.25">
      <c r="I31" s="3" t="s">
        <v>55</v>
      </c>
    </row>
    <row r="33" spans="2:11" x14ac:dyDescent="0.25">
      <c r="B33" s="10" t="s">
        <v>56</v>
      </c>
    </row>
    <row r="34" spans="2:11" x14ac:dyDescent="0.25">
      <c r="H34" s="3" t="s">
        <v>57</v>
      </c>
    </row>
    <row r="35" spans="2:11" x14ac:dyDescent="0.25">
      <c r="H35" s="4" t="s">
        <v>58</v>
      </c>
      <c r="I35" s="4" t="s">
        <v>59</v>
      </c>
      <c r="J35" s="4" t="s">
        <v>60</v>
      </c>
      <c r="K35" s="4" t="s">
        <v>61</v>
      </c>
    </row>
    <row r="36" spans="2:11" x14ac:dyDescent="0.25">
      <c r="H36" s="5">
        <v>0</v>
      </c>
      <c r="I36" s="5">
        <v>1</v>
      </c>
      <c r="J36" s="5">
        <v>0</v>
      </c>
      <c r="K36" s="5">
        <v>0</v>
      </c>
    </row>
    <row r="37" spans="2:11" x14ac:dyDescent="0.25">
      <c r="H37" s="5">
        <v>0</v>
      </c>
      <c r="I37" s="5">
        <v>0</v>
      </c>
      <c r="J37" s="5">
        <v>1</v>
      </c>
      <c r="K37" s="5">
        <v>0</v>
      </c>
    </row>
    <row r="38" spans="2:11" x14ac:dyDescent="0.25">
      <c r="H38" s="5">
        <v>0</v>
      </c>
      <c r="I38" s="5">
        <v>0</v>
      </c>
      <c r="J38" s="5">
        <v>0</v>
      </c>
      <c r="K38" s="5">
        <v>1</v>
      </c>
    </row>
    <row r="39" spans="2:11" x14ac:dyDescent="0.25">
      <c r="C39" s="3" t="s">
        <v>62</v>
      </c>
      <c r="H39" s="5">
        <v>1</v>
      </c>
      <c r="I39" s="5">
        <v>0</v>
      </c>
      <c r="J39" s="5">
        <v>0</v>
      </c>
      <c r="K39" s="5">
        <v>0</v>
      </c>
    </row>
    <row r="40" spans="2:11" x14ac:dyDescent="0.25">
      <c r="B40" s="4" t="s">
        <v>63</v>
      </c>
      <c r="C40" s="11">
        <f>IF('1 Task'!$C$10=0,1,0)</f>
        <v>0</v>
      </c>
      <c r="D40" s="11">
        <f>IF('1 Task'!$C$10=1,1,0)</f>
        <v>0</v>
      </c>
      <c r="E40" s="11">
        <f>IF('1 Task'!$C$10=2,1,0)</f>
        <v>1</v>
      </c>
      <c r="F40" s="11">
        <f>IF('1 Task'!$C$10=3,1,0)</f>
        <v>0</v>
      </c>
      <c r="H40" s="7">
        <f>C40*H36+D40*H37+E40*H38+F40*H39</f>
        <v>0</v>
      </c>
      <c r="I40" s="7">
        <f>C40*I36+D40*I37+E40*I38+F40*I39</f>
        <v>0</v>
      </c>
      <c r="J40" s="7">
        <f>C40*J36+D40*J37+E40*J38+F40*J39</f>
        <v>0</v>
      </c>
      <c r="K40" s="7">
        <f>C40*K36+D40*K37+E40*K38+F40*K39</f>
        <v>1</v>
      </c>
    </row>
    <row r="41" spans="2:11" x14ac:dyDescent="0.25">
      <c r="B41" s="4" t="s">
        <v>64</v>
      </c>
      <c r="C41" s="11">
        <f>IF('1 Task'!$C$11=0,1,0)</f>
        <v>1</v>
      </c>
      <c r="D41" s="11">
        <f>IF('1 Task'!$C$11=1,1,0)</f>
        <v>0</v>
      </c>
      <c r="E41" s="11">
        <f>IF('1 Task'!$C$11=2,1,0)</f>
        <v>0</v>
      </c>
      <c r="F41" s="11">
        <f>IF('1 Task'!$C$11=3,1,0)</f>
        <v>0</v>
      </c>
      <c r="H41" s="7">
        <f>C41*H36+D41*H37+E41*H38+F41*H39</f>
        <v>0</v>
      </c>
      <c r="I41" s="7">
        <f>C41*I36+D41*I37+E41*I38+F41*I39</f>
        <v>1</v>
      </c>
      <c r="J41" s="7">
        <f>C41*J36+D41*J37+E41*J38+F41*J39</f>
        <v>0</v>
      </c>
      <c r="K41" s="7">
        <f>C41*K36+D41*K37+E41*K38+F41*K39</f>
        <v>0</v>
      </c>
    </row>
    <row r="42" spans="2:11" x14ac:dyDescent="0.25">
      <c r="B42" s="4" t="s">
        <v>65</v>
      </c>
      <c r="C42" s="11">
        <f>IF('1 Task'!$C$12=0,1,0)</f>
        <v>0</v>
      </c>
      <c r="D42" s="11">
        <f>IF('1 Task'!$C$12=1,1,0)</f>
        <v>0</v>
      </c>
      <c r="E42" s="11">
        <f>IF('1 Task'!$C$12=2,1,0)</f>
        <v>0</v>
      </c>
      <c r="F42" s="11">
        <f>IF('1 Task'!$C$12=3,1,0)</f>
        <v>1</v>
      </c>
      <c r="H42" s="7">
        <f>C42*H36+D42*H37+E42*H38+F42*H39</f>
        <v>1</v>
      </c>
      <c r="I42" s="7">
        <f>C42*I36+D42*I37+E42*I38+F42*I39</f>
        <v>0</v>
      </c>
      <c r="J42" s="7">
        <f>C42*J36+D42*J37+E42*J38+F42*J39</f>
        <v>0</v>
      </c>
      <c r="K42" s="7">
        <f>C42*K36+D42*K37+E42*K38+F42*K39</f>
        <v>0</v>
      </c>
    </row>
    <row r="43" spans="2:11" x14ac:dyDescent="0.25">
      <c r="B43" s="4" t="s">
        <v>66</v>
      </c>
      <c r="C43" s="11">
        <f>IF('1 Task'!$C$13=0,1,0)</f>
        <v>0</v>
      </c>
      <c r="D43" s="11">
        <f>IF('1 Task'!$C$13=1,1,0)</f>
        <v>1</v>
      </c>
      <c r="E43" s="11">
        <f>IF('1 Task'!$C$13=2,1,0)</f>
        <v>0</v>
      </c>
      <c r="F43" s="11">
        <f>IF('1 Task'!$C$13=3,1,0)</f>
        <v>0</v>
      </c>
      <c r="H43" s="7">
        <f>C43*H36+D43*H37+E43*H38+F43*H39</f>
        <v>0</v>
      </c>
      <c r="I43" s="7">
        <f>C43*I36+D43*I37+E43*I38+F43*I39</f>
        <v>0</v>
      </c>
      <c r="J43" s="7">
        <f>C43*J36+D43*J37+E43*J38+F43*J39</f>
        <v>1</v>
      </c>
      <c r="K43" s="7">
        <f>C43*K36+D43*K37+E43*K38+F43*K39</f>
        <v>0</v>
      </c>
    </row>
    <row r="44" spans="2:11" x14ac:dyDescent="0.25">
      <c r="H44" s="3" t="s">
        <v>67</v>
      </c>
    </row>
    <row r="46" spans="2:11" x14ac:dyDescent="0.25">
      <c r="B46" s="10" t="s">
        <v>68</v>
      </c>
    </row>
    <row r="47" spans="2:11" x14ac:dyDescent="0.25">
      <c r="H47" s="3" t="s">
        <v>69</v>
      </c>
    </row>
    <row r="48" spans="2:11" x14ac:dyDescent="0.25">
      <c r="H48" s="4" t="s">
        <v>47</v>
      </c>
      <c r="I48" s="4" t="s">
        <v>48</v>
      </c>
      <c r="J48" s="4" t="s">
        <v>49</v>
      </c>
      <c r="K48" s="4" t="s">
        <v>50</v>
      </c>
    </row>
    <row r="49" spans="2:11" x14ac:dyDescent="0.25">
      <c r="H49" s="12">
        <f>I13</f>
        <v>1</v>
      </c>
      <c r="I49" s="12">
        <f>I14</f>
        <v>0</v>
      </c>
      <c r="J49" s="12">
        <f>I15</f>
        <v>0</v>
      </c>
      <c r="K49" s="12">
        <f>I16</f>
        <v>0</v>
      </c>
    </row>
    <row r="50" spans="2:11" x14ac:dyDescent="0.25">
      <c r="H50" s="12">
        <f>J13</f>
        <v>0</v>
      </c>
      <c r="I50" s="12">
        <f>J14</f>
        <v>1</v>
      </c>
      <c r="J50" s="12">
        <f>J15</f>
        <v>0</v>
      </c>
      <c r="K50" s="12">
        <f>J16</f>
        <v>0</v>
      </c>
    </row>
    <row r="51" spans="2:11" x14ac:dyDescent="0.25">
      <c r="H51" s="12">
        <f>K13</f>
        <v>0</v>
      </c>
      <c r="I51" s="12">
        <f>K14</f>
        <v>0</v>
      </c>
      <c r="J51" s="12">
        <f>K15</f>
        <v>1</v>
      </c>
      <c r="K51" s="12">
        <f>K16</f>
        <v>0</v>
      </c>
    </row>
    <row r="52" spans="2:11" x14ac:dyDescent="0.25">
      <c r="C52" s="3" t="s">
        <v>70</v>
      </c>
      <c r="H52" s="12">
        <f>L13</f>
        <v>0</v>
      </c>
      <c r="I52" s="12">
        <f>L14</f>
        <v>0</v>
      </c>
      <c r="J52" s="12">
        <f>L15</f>
        <v>0</v>
      </c>
      <c r="K52" s="12">
        <f>L16</f>
        <v>1</v>
      </c>
    </row>
    <row r="53" spans="2:11" x14ac:dyDescent="0.25">
      <c r="B53" s="4" t="s">
        <v>63</v>
      </c>
      <c r="C53" s="11">
        <f t="shared" ref="C53:F56" si="0">H40</f>
        <v>0</v>
      </c>
      <c r="D53" s="11">
        <f t="shared" si="0"/>
        <v>0</v>
      </c>
      <c r="E53" s="11">
        <f t="shared" si="0"/>
        <v>0</v>
      </c>
      <c r="F53" s="11">
        <f t="shared" si="0"/>
        <v>1</v>
      </c>
      <c r="H53" s="7">
        <f>C53*H49+D53*H50+E53*H51+F53*H52</f>
        <v>0</v>
      </c>
      <c r="I53" s="7">
        <f>C53*I49+D53*I50+E53*I51+F53*I52</f>
        <v>0</v>
      </c>
      <c r="J53" s="7">
        <f>C53*J49+D53*J50+E53*J51+F53*J52</f>
        <v>0</v>
      </c>
      <c r="K53" s="7">
        <f>C53*K49+D53*K50+E53*K51+F53*K52</f>
        <v>1</v>
      </c>
    </row>
    <row r="54" spans="2:11" x14ac:dyDescent="0.25">
      <c r="B54" s="4" t="s">
        <v>64</v>
      </c>
      <c r="C54" s="11">
        <f t="shared" si="0"/>
        <v>0</v>
      </c>
      <c r="D54" s="11">
        <f t="shared" si="0"/>
        <v>1</v>
      </c>
      <c r="E54" s="11">
        <f t="shared" si="0"/>
        <v>0</v>
      </c>
      <c r="F54" s="11">
        <f t="shared" si="0"/>
        <v>0</v>
      </c>
      <c r="H54" s="7">
        <f>C54*H49+D54*H50+E54*H51+F54*H52</f>
        <v>0</v>
      </c>
      <c r="I54" s="7">
        <f>C54*I49+D54*I50+E54*I51+F54*I52</f>
        <v>1</v>
      </c>
      <c r="J54" s="7">
        <f>C54*J49+D54*J50+E54*J51+F54*J52</f>
        <v>0</v>
      </c>
      <c r="K54" s="7">
        <f>C54*K49+D54*K50+E54*K51+F54*K52</f>
        <v>0</v>
      </c>
    </row>
    <row r="55" spans="2:11" x14ac:dyDescent="0.25">
      <c r="B55" s="4" t="s">
        <v>65</v>
      </c>
      <c r="C55" s="11">
        <f t="shared" si="0"/>
        <v>1</v>
      </c>
      <c r="D55" s="11">
        <f t="shared" si="0"/>
        <v>0</v>
      </c>
      <c r="E55" s="11">
        <f t="shared" si="0"/>
        <v>0</v>
      </c>
      <c r="F55" s="11">
        <f t="shared" si="0"/>
        <v>0</v>
      </c>
      <c r="H55" s="7">
        <f>C55*H49+D55*H50+E55*H51+F55*H52</f>
        <v>1</v>
      </c>
      <c r="I55" s="7">
        <f>C55*I49+D55*I50+E55*I51+F55*I52</f>
        <v>0</v>
      </c>
      <c r="J55" s="7">
        <f>C55*J49+D55*J50+E55*J51+F55*J52</f>
        <v>0</v>
      </c>
      <c r="K55" s="7">
        <f>C55*K49+D55*K50+E55*K51+F55*K52</f>
        <v>0</v>
      </c>
    </row>
    <row r="56" spans="2:11" x14ac:dyDescent="0.25">
      <c r="B56" s="4" t="s">
        <v>66</v>
      </c>
      <c r="C56" s="11">
        <f t="shared" si="0"/>
        <v>0</v>
      </c>
      <c r="D56" s="11">
        <f t="shared" si="0"/>
        <v>0</v>
      </c>
      <c r="E56" s="11">
        <f t="shared" si="0"/>
        <v>1</v>
      </c>
      <c r="F56" s="11">
        <f t="shared" si="0"/>
        <v>0</v>
      </c>
      <c r="H56" s="7">
        <f>C56*H49+D56*H50+E56*H51+F56*H52</f>
        <v>0</v>
      </c>
      <c r="I56" s="7">
        <f>C56*I49+D56*I50+E56*I51+F56*I52</f>
        <v>0</v>
      </c>
      <c r="J56" s="7">
        <f>C56*J49+D56*J50+E56*J51+F56*J52</f>
        <v>1</v>
      </c>
      <c r="K56" s="7">
        <f>C56*K49+D56*K50+E56*K51+F56*K52</f>
        <v>0</v>
      </c>
    </row>
    <row r="57" spans="2:11" x14ac:dyDescent="0.25">
      <c r="H57" s="3" t="s">
        <v>71</v>
      </c>
    </row>
    <row r="59" spans="2:11" x14ac:dyDescent="0.25">
      <c r="B59" s="10" t="s">
        <v>72</v>
      </c>
    </row>
    <row r="60" spans="2:11" x14ac:dyDescent="0.25">
      <c r="C60" s="2" t="s">
        <v>73</v>
      </c>
      <c r="D60" s="9">
        <v>10</v>
      </c>
    </row>
    <row r="61" spans="2:11" x14ac:dyDescent="0.25">
      <c r="C61" s="3" t="s">
        <v>74</v>
      </c>
      <c r="D61" s="4" t="s">
        <v>47</v>
      </c>
      <c r="E61" s="4" t="s">
        <v>48</v>
      </c>
      <c r="F61" s="4" t="s">
        <v>49</v>
      </c>
      <c r="G61" s="4" t="s">
        <v>50</v>
      </c>
      <c r="H61" s="4" t="s">
        <v>75</v>
      </c>
    </row>
    <row r="62" spans="2:11" x14ac:dyDescent="0.25">
      <c r="C62" s="4" t="s">
        <v>63</v>
      </c>
      <c r="D62" s="13">
        <f>EXP($D$60*H53)/(EXP($D$60*H53)+EXP($D$60*I53)+EXP($D$60*J53)+EXP($D$60*K53))</f>
        <v>4.5393747143688908E-5</v>
      </c>
      <c r="E62" s="13">
        <f>EXP($D$60*I53)/(EXP($D$60*H53)+EXP($D$60*I53)+EXP($D$60*J53)+EXP($D$60*K53))</f>
        <v>4.5393747143688908E-5</v>
      </c>
      <c r="F62" s="13">
        <f>EXP($D$60*J53)/(EXP($D$60*H53)+EXP($D$60*I53)+EXP($D$60*J53)+EXP($D$60*K53))</f>
        <v>4.5393747143688908E-5</v>
      </c>
      <c r="G62" s="13">
        <f>EXP($D$60*K53)/(EXP($D$60*H53)+EXP($D$60*I53)+EXP($D$60*J53)+EXP($D$60*K53))</f>
        <v>0.99986381875856889</v>
      </c>
      <c r="H62" s="13">
        <f>SUM(D62:G62)</f>
        <v>1</v>
      </c>
    </row>
    <row r="63" spans="2:11" x14ac:dyDescent="0.25">
      <c r="C63" s="4" t="s">
        <v>64</v>
      </c>
      <c r="D63" s="13">
        <f>EXP($D$60*H54)/(EXP($D$60*H54)+EXP($D$60*I54)+EXP($D$60*J54)+EXP($D$60*K54))</f>
        <v>4.5393747143688908E-5</v>
      </c>
      <c r="E63" s="13">
        <f>EXP($D$60*I54)/(EXP($D$60*H54)+EXP($D$60*I54)+EXP($D$60*J54)+EXP($D$60*K54))</f>
        <v>0.99986381875856889</v>
      </c>
      <c r="F63" s="13">
        <f>EXP($D$60*J54)/(EXP($D$60*H54)+EXP($D$60*I54)+EXP($D$60*J54)+EXP($D$60*K54))</f>
        <v>4.5393747143688908E-5</v>
      </c>
      <c r="G63" s="13">
        <f>EXP($D$60*K54)/(EXP($D$60*H54)+EXP($D$60*I54)+EXP($D$60*J54)+EXP($D$60*K54))</f>
        <v>4.5393747143688908E-5</v>
      </c>
      <c r="H63" s="13">
        <f>SUM(D63:G63)</f>
        <v>1</v>
      </c>
    </row>
    <row r="64" spans="2:11" x14ac:dyDescent="0.25">
      <c r="C64" s="4" t="s">
        <v>65</v>
      </c>
      <c r="D64" s="13">
        <f>EXP($D$60*H55)/(EXP($D$60*H55)+EXP($D$60*I55)+EXP($D$60*J55)+EXP($D$60*K55))</f>
        <v>0.99986381875856889</v>
      </c>
      <c r="E64" s="13">
        <f>EXP($D$60*I55)/(EXP($D$60*H55)+EXP($D$60*I55)+EXP($D$60*J55)+EXP($D$60*K55))</f>
        <v>4.5393747143688908E-5</v>
      </c>
      <c r="F64" s="13">
        <f>EXP($D$60*J55)/(EXP($D$60*H55)+EXP($D$60*I55)+EXP($D$60*J55)+EXP($D$60*K55))</f>
        <v>4.5393747143688908E-5</v>
      </c>
      <c r="G64" s="13">
        <f>EXP($D$60*K55)/(EXP($D$60*H55)+EXP($D$60*I55)+EXP($D$60*J55)+EXP($D$60*K55))</f>
        <v>4.5393747143688908E-5</v>
      </c>
      <c r="H64" s="13">
        <f>SUM(D64:G64)</f>
        <v>1</v>
      </c>
    </row>
    <row r="65" spans="2:10" x14ac:dyDescent="0.25">
      <c r="C65" s="4" t="s">
        <v>66</v>
      </c>
      <c r="D65" s="13">
        <f>EXP($D$60*H56)/(EXP($D$60*H56)+EXP($D$60*I56)+EXP($D$60*J56)+EXP($D$60*K56))</f>
        <v>4.5393747143688908E-5</v>
      </c>
      <c r="E65" s="13">
        <f>EXP($D$60*I56)/(EXP($D$60*H56)+EXP($D$60*I56)+EXP($D$60*J56)+EXP($D$60*K56))</f>
        <v>4.5393747143688908E-5</v>
      </c>
      <c r="F65" s="13">
        <f>EXP($D$60*J56)/(EXP($D$60*H56)+EXP($D$60*I56)+EXP($D$60*J56)+EXP($D$60*K56))</f>
        <v>0.99986381875856889</v>
      </c>
      <c r="G65" s="13">
        <f>EXP($D$60*K56)/(EXP($D$60*H56)+EXP($D$60*I56)+EXP($D$60*J56)+EXP($D$60*K56))</f>
        <v>4.5393747143688908E-5</v>
      </c>
      <c r="H65" s="13">
        <f>SUM(D65:G65)</f>
        <v>1</v>
      </c>
    </row>
    <row r="67" spans="2:10" x14ac:dyDescent="0.25">
      <c r="B67" s="10" t="s">
        <v>76</v>
      </c>
    </row>
    <row r="68" spans="2:10" x14ac:dyDescent="0.25">
      <c r="H68" s="3" t="s">
        <v>77</v>
      </c>
    </row>
    <row r="69" spans="2:10" x14ac:dyDescent="0.25">
      <c r="H69" s="4" t="s">
        <v>78</v>
      </c>
    </row>
    <row r="70" spans="2:10" x14ac:dyDescent="0.25">
      <c r="H70" s="12">
        <f>I27</f>
        <v>2</v>
      </c>
    </row>
    <row r="71" spans="2:10" x14ac:dyDescent="0.25">
      <c r="H71" s="12">
        <f>I28</f>
        <v>1</v>
      </c>
    </row>
    <row r="72" spans="2:10" x14ac:dyDescent="0.25">
      <c r="H72" s="12">
        <f>I29</f>
        <v>-3</v>
      </c>
    </row>
    <row r="73" spans="2:10" x14ac:dyDescent="0.25">
      <c r="C73" s="3" t="s">
        <v>79</v>
      </c>
      <c r="H73" s="12">
        <f>I30</f>
        <v>6</v>
      </c>
      <c r="J73" s="3" t="s">
        <v>80</v>
      </c>
    </row>
    <row r="74" spans="2:10" x14ac:dyDescent="0.25">
      <c r="B74" s="4" t="s">
        <v>63</v>
      </c>
      <c r="C74" s="14">
        <f t="shared" ref="C74:F77" si="1">D62</f>
        <v>4.5393747143688908E-5</v>
      </c>
      <c r="D74" s="14">
        <f t="shared" si="1"/>
        <v>4.5393747143688908E-5</v>
      </c>
      <c r="E74" s="14">
        <f t="shared" si="1"/>
        <v>4.5393747143688908E-5</v>
      </c>
      <c r="F74" s="14">
        <f t="shared" si="1"/>
        <v>0.99986381875856889</v>
      </c>
      <c r="H74" s="15">
        <f>C74*H70+D74*H71+E74*H72+F74*H73</f>
        <v>5.9991829125514133</v>
      </c>
      <c r="J74" s="8">
        <f>'1 Task'!$F$10</f>
        <v>6</v>
      </c>
    </row>
    <row r="75" spans="2:10" x14ac:dyDescent="0.25">
      <c r="B75" s="4" t="s">
        <v>64</v>
      </c>
      <c r="C75" s="14">
        <f t="shared" si="1"/>
        <v>4.5393747143688908E-5</v>
      </c>
      <c r="D75" s="14">
        <f t="shared" si="1"/>
        <v>0.99986381875856889</v>
      </c>
      <c r="E75" s="14">
        <f t="shared" si="1"/>
        <v>4.5393747143688908E-5</v>
      </c>
      <c r="F75" s="14">
        <f t="shared" si="1"/>
        <v>4.5393747143688908E-5</v>
      </c>
      <c r="H75" s="15">
        <f>C75*H70+D75*H71+E75*H72+F75*H73</f>
        <v>1.0000907874942873</v>
      </c>
      <c r="J75" s="8">
        <f>'1 Task'!$F$11</f>
        <v>1</v>
      </c>
    </row>
    <row r="76" spans="2:10" x14ac:dyDescent="0.25">
      <c r="B76" s="4" t="s">
        <v>65</v>
      </c>
      <c r="C76" s="14">
        <f t="shared" si="1"/>
        <v>0.99986381875856889</v>
      </c>
      <c r="D76" s="14">
        <f t="shared" si="1"/>
        <v>4.5393747143688908E-5</v>
      </c>
      <c r="E76" s="14">
        <f t="shared" si="1"/>
        <v>4.5393747143688908E-5</v>
      </c>
      <c r="F76" s="14">
        <f t="shared" si="1"/>
        <v>4.5393747143688908E-5</v>
      </c>
      <c r="H76" s="15">
        <f>C76*H70+D76*H71+E76*H72+F76*H73</f>
        <v>1.9999092125057125</v>
      </c>
      <c r="J76" s="8">
        <f>'1 Task'!$F$12</f>
        <v>2</v>
      </c>
    </row>
    <row r="77" spans="2:10" x14ac:dyDescent="0.25">
      <c r="B77" s="4" t="s">
        <v>66</v>
      </c>
      <c r="C77" s="14">
        <f t="shared" si="1"/>
        <v>4.5393747143688908E-5</v>
      </c>
      <c r="D77" s="14">
        <f t="shared" si="1"/>
        <v>4.5393747143688908E-5</v>
      </c>
      <c r="E77" s="14">
        <f t="shared" si="1"/>
        <v>0.99986381875856889</v>
      </c>
      <c r="F77" s="14">
        <f t="shared" si="1"/>
        <v>4.5393747143688908E-5</v>
      </c>
      <c r="H77" s="15">
        <f>C77*H70+D77*H71+E77*H72+F77*H73</f>
        <v>-2.9991829125514133</v>
      </c>
      <c r="J77" s="8">
        <f>'1 Task'!$F$13</f>
        <v>-3</v>
      </c>
    </row>
    <row r="78" spans="2:10" x14ac:dyDescent="0.25">
      <c r="H78" s="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94"/>
  <sheetViews>
    <sheetView showGridLines="0" workbookViewId="0"/>
  </sheetViews>
  <sheetFormatPr defaultRowHeight="15" x14ac:dyDescent="0.25"/>
  <cols>
    <col min="1" max="1" width="2.42578125" customWidth="1"/>
    <col min="2" max="39" width="8.42578125" customWidth="1"/>
  </cols>
  <sheetData>
    <row r="1" spans="2:12" ht="18" x14ac:dyDescent="0.25">
      <c r="B1" s="1" t="s">
        <v>82</v>
      </c>
    </row>
    <row r="2" spans="2:12" x14ac:dyDescent="0.25">
      <c r="B2" s="2" t="s">
        <v>83</v>
      </c>
    </row>
    <row r="4" spans="2:12" x14ac:dyDescent="0.25">
      <c r="B4" s="10" t="s">
        <v>40</v>
      </c>
    </row>
    <row r="5" spans="2:12" x14ac:dyDescent="0.25">
      <c r="I5" s="3" t="s">
        <v>41</v>
      </c>
    </row>
    <row r="6" spans="2:12" x14ac:dyDescent="0.25">
      <c r="I6" s="4" t="s">
        <v>42</v>
      </c>
      <c r="J6" s="4" t="s">
        <v>43</v>
      </c>
      <c r="K6" s="4" t="s">
        <v>44</v>
      </c>
      <c r="L6" s="4" t="s">
        <v>45</v>
      </c>
    </row>
    <row r="7" spans="2:12" x14ac:dyDescent="0.25">
      <c r="I7" s="5">
        <v>1</v>
      </c>
      <c r="J7" s="5">
        <v>0</v>
      </c>
      <c r="K7" s="5">
        <v>0</v>
      </c>
      <c r="L7" s="5">
        <v>0</v>
      </c>
    </row>
    <row r="8" spans="2:12" x14ac:dyDescent="0.25">
      <c r="I8" s="5">
        <v>0</v>
      </c>
      <c r="J8" s="5">
        <v>1</v>
      </c>
      <c r="K8" s="5">
        <v>0</v>
      </c>
      <c r="L8" s="5">
        <v>0</v>
      </c>
    </row>
    <row r="9" spans="2:12" x14ac:dyDescent="0.25">
      <c r="I9" s="5">
        <v>0</v>
      </c>
      <c r="J9" s="5">
        <v>0</v>
      </c>
      <c r="K9" s="5">
        <v>1</v>
      </c>
      <c r="L9" s="5">
        <v>0</v>
      </c>
    </row>
    <row r="10" spans="2:12" x14ac:dyDescent="0.25">
      <c r="I10" s="5">
        <v>0</v>
      </c>
      <c r="J10" s="5">
        <v>0</v>
      </c>
      <c r="K10" s="5">
        <v>0</v>
      </c>
      <c r="L10" s="5">
        <v>1</v>
      </c>
    </row>
    <row r="11" spans="2:12" x14ac:dyDescent="0.25">
      <c r="C11" s="3" t="s">
        <v>46</v>
      </c>
      <c r="I11" s="5">
        <v>0</v>
      </c>
      <c r="J11" s="5">
        <v>0</v>
      </c>
      <c r="K11" s="5">
        <v>0</v>
      </c>
      <c r="L11" s="5">
        <v>0</v>
      </c>
    </row>
    <row r="12" spans="2:12" x14ac:dyDescent="0.25">
      <c r="B12" s="4" t="s">
        <v>47</v>
      </c>
      <c r="C12" s="11">
        <v>1</v>
      </c>
      <c r="D12" s="11">
        <v>0</v>
      </c>
      <c r="E12" s="11">
        <v>0</v>
      </c>
      <c r="F12" s="11">
        <v>0</v>
      </c>
      <c r="G12" s="11">
        <f>'1 Task'!$C$6</f>
        <v>2</v>
      </c>
      <c r="I12" s="7">
        <f>C12*I7+D12*I8+E12*I9+F12*I10+G12*I11</f>
        <v>1</v>
      </c>
      <c r="J12" s="7">
        <f>C12*J7+D12*J8+E12*J9+F12*J10+G12*J11</f>
        <v>0</v>
      </c>
      <c r="K12" s="7">
        <f>C12*K7+D12*K8+E12*K9+F12*K10+G12*K11</f>
        <v>0</v>
      </c>
      <c r="L12" s="7">
        <f>C12*L7+D12*L8+E12*L9+F12*L10+G12*L11</f>
        <v>0</v>
      </c>
    </row>
    <row r="13" spans="2:12" x14ac:dyDescent="0.25">
      <c r="B13" s="4" t="s">
        <v>48</v>
      </c>
      <c r="C13" s="11">
        <v>0</v>
      </c>
      <c r="D13" s="11">
        <v>1</v>
      </c>
      <c r="E13" s="11">
        <v>0</v>
      </c>
      <c r="F13" s="11">
        <v>0</v>
      </c>
      <c r="G13" s="11">
        <f>'1 Task'!$D$6</f>
        <v>1</v>
      </c>
      <c r="I13" s="7">
        <f>C13*I7+D13*I8+E13*I9+F13*I10+G13*I11</f>
        <v>0</v>
      </c>
      <c r="J13" s="7">
        <f>C13*J7+D13*J8+E13*J9+F13*J10+G13*J11</f>
        <v>1</v>
      </c>
      <c r="K13" s="7">
        <f>C13*K7+D13*K8+E13*K9+F13*K10+G13*K11</f>
        <v>0</v>
      </c>
      <c r="L13" s="7">
        <f>C13*L7+D13*L8+E13*L9+F13*L10+G13*L11</f>
        <v>0</v>
      </c>
    </row>
    <row r="14" spans="2:12" x14ac:dyDescent="0.25">
      <c r="B14" s="4" t="s">
        <v>49</v>
      </c>
      <c r="C14" s="11">
        <v>0</v>
      </c>
      <c r="D14" s="11">
        <v>0</v>
      </c>
      <c r="E14" s="11">
        <v>1</v>
      </c>
      <c r="F14" s="11">
        <v>0</v>
      </c>
      <c r="G14" s="11">
        <f>'1 Task'!$E$6</f>
        <v>-3</v>
      </c>
      <c r="I14" s="7">
        <f>C14*I7+D14*I8+E14*I9+F14*I10+G14*I11</f>
        <v>0</v>
      </c>
      <c r="J14" s="7">
        <f>C14*J7+D14*J8+E14*J9+F14*J10+G14*J11</f>
        <v>0</v>
      </c>
      <c r="K14" s="7">
        <f>C14*K7+D14*K8+E14*K9+F14*K10+G14*K11</f>
        <v>1</v>
      </c>
      <c r="L14" s="7">
        <f>C14*L7+D14*L8+E14*L9+F14*L10+G14*L11</f>
        <v>0</v>
      </c>
    </row>
    <row r="15" spans="2:12" x14ac:dyDescent="0.25">
      <c r="B15" s="4" t="s">
        <v>50</v>
      </c>
      <c r="C15" s="11">
        <v>0</v>
      </c>
      <c r="D15" s="11">
        <v>0</v>
      </c>
      <c r="E15" s="11">
        <v>0</v>
      </c>
      <c r="F15" s="11">
        <v>1</v>
      </c>
      <c r="G15" s="11">
        <f>'1 Task'!$F$6</f>
        <v>6</v>
      </c>
      <c r="I15" s="7">
        <f>C15*I7+D15*I8+E15*I9+F15*I10+G15*I11</f>
        <v>0</v>
      </c>
      <c r="J15" s="7">
        <f>C15*J7+D15*J8+E15*J9+F15*J10+G15*J11</f>
        <v>0</v>
      </c>
      <c r="K15" s="7">
        <f>C15*K7+D15*K8+E15*K9+F15*K10+G15*K11</f>
        <v>0</v>
      </c>
      <c r="L15" s="7">
        <f>C15*L7+D15*L8+E15*L9+F15*L10+G15*L11</f>
        <v>1</v>
      </c>
    </row>
    <row r="16" spans="2:12" x14ac:dyDescent="0.25">
      <c r="I16" s="3" t="s">
        <v>51</v>
      </c>
    </row>
    <row r="18" spans="2:9" x14ac:dyDescent="0.25">
      <c r="B18" s="10" t="s">
        <v>52</v>
      </c>
    </row>
    <row r="19" spans="2:9" x14ac:dyDescent="0.25">
      <c r="I19" s="3" t="s">
        <v>53</v>
      </c>
    </row>
    <row r="20" spans="2:9" x14ac:dyDescent="0.25">
      <c r="I20" s="4" t="s">
        <v>54</v>
      </c>
    </row>
    <row r="21" spans="2:9" x14ac:dyDescent="0.25">
      <c r="I21" s="5">
        <v>0</v>
      </c>
    </row>
    <row r="22" spans="2:9" x14ac:dyDescent="0.25">
      <c r="I22" s="5">
        <v>0</v>
      </c>
    </row>
    <row r="23" spans="2:9" x14ac:dyDescent="0.25">
      <c r="I23" s="5">
        <v>0</v>
      </c>
    </row>
    <row r="24" spans="2:9" x14ac:dyDescent="0.25">
      <c r="I24" s="5">
        <v>0</v>
      </c>
    </row>
    <row r="25" spans="2:9" x14ac:dyDescent="0.25">
      <c r="C25" s="3" t="s">
        <v>46</v>
      </c>
      <c r="I25" s="5">
        <v>1</v>
      </c>
    </row>
    <row r="26" spans="2:9" x14ac:dyDescent="0.25">
      <c r="B26" s="4" t="s">
        <v>47</v>
      </c>
      <c r="C26" s="11">
        <v>1</v>
      </c>
      <c r="D26" s="11">
        <v>0</v>
      </c>
      <c r="E26" s="11">
        <v>0</v>
      </c>
      <c r="F26" s="11">
        <v>0</v>
      </c>
      <c r="G26" s="11">
        <f>'1 Task'!$C$6</f>
        <v>2</v>
      </c>
      <c r="I26" s="7">
        <f>C26*I21+D26*I22+E26*I23+F26*I24+G26*I25</f>
        <v>2</v>
      </c>
    </row>
    <row r="27" spans="2:9" x14ac:dyDescent="0.25">
      <c r="B27" s="4" t="s">
        <v>48</v>
      </c>
      <c r="C27" s="11">
        <v>0</v>
      </c>
      <c r="D27" s="11">
        <v>1</v>
      </c>
      <c r="E27" s="11">
        <v>0</v>
      </c>
      <c r="F27" s="11">
        <v>0</v>
      </c>
      <c r="G27" s="11">
        <f>'1 Task'!$D$6</f>
        <v>1</v>
      </c>
      <c r="I27" s="7">
        <f>C27*I21+D27*I22+E27*I23+F27*I24+G27*I25</f>
        <v>1</v>
      </c>
    </row>
    <row r="28" spans="2:9" x14ac:dyDescent="0.25">
      <c r="B28" s="4" t="s">
        <v>49</v>
      </c>
      <c r="C28" s="11">
        <v>0</v>
      </c>
      <c r="D28" s="11">
        <v>0</v>
      </c>
      <c r="E28" s="11">
        <v>1</v>
      </c>
      <c r="F28" s="11">
        <v>0</v>
      </c>
      <c r="G28" s="11">
        <f>'1 Task'!$E$6</f>
        <v>-3</v>
      </c>
      <c r="I28" s="7">
        <f>C28*I21+D28*I22+E28*I23+F28*I24+G28*I25</f>
        <v>-3</v>
      </c>
    </row>
    <row r="29" spans="2:9" x14ac:dyDescent="0.25">
      <c r="B29" s="4" t="s">
        <v>50</v>
      </c>
      <c r="C29" s="11">
        <v>0</v>
      </c>
      <c r="D29" s="11">
        <v>0</v>
      </c>
      <c r="E29" s="11">
        <v>0</v>
      </c>
      <c r="F29" s="11">
        <v>1</v>
      </c>
      <c r="G29" s="11">
        <f>'1 Task'!$F$6</f>
        <v>6</v>
      </c>
      <c r="I29" s="7">
        <f>C29*I21+D29*I22+E29*I23+F29*I24+G29*I25</f>
        <v>6</v>
      </c>
    </row>
    <row r="30" spans="2:9" x14ac:dyDescent="0.25">
      <c r="I30" s="3" t="s">
        <v>55</v>
      </c>
    </row>
    <row r="32" spans="2:9" x14ac:dyDescent="0.25">
      <c r="B32" s="10" t="s">
        <v>84</v>
      </c>
    </row>
    <row r="33" spans="2:11" x14ac:dyDescent="0.25">
      <c r="H33" s="3" t="s">
        <v>85</v>
      </c>
    </row>
    <row r="34" spans="2:11" x14ac:dyDescent="0.25">
      <c r="H34" s="4" t="s">
        <v>58</v>
      </c>
      <c r="I34" s="4" t="s">
        <v>59</v>
      </c>
      <c r="J34" s="4" t="s">
        <v>60</v>
      </c>
      <c r="K34" s="4" t="s">
        <v>61</v>
      </c>
    </row>
    <row r="35" spans="2:11" x14ac:dyDescent="0.25">
      <c r="H35" s="5">
        <v>0</v>
      </c>
      <c r="I35" s="5">
        <v>0</v>
      </c>
      <c r="J35" s="5">
        <v>0</v>
      </c>
      <c r="K35" s="5">
        <v>1</v>
      </c>
    </row>
    <row r="36" spans="2:11" x14ac:dyDescent="0.25">
      <c r="H36" s="5">
        <v>1</v>
      </c>
      <c r="I36" s="5">
        <v>0</v>
      </c>
      <c r="J36" s="5">
        <v>0</v>
      </c>
      <c r="K36" s="5">
        <v>0</v>
      </c>
    </row>
    <row r="37" spans="2:11" x14ac:dyDescent="0.25">
      <c r="H37" s="5">
        <v>0</v>
      </c>
      <c r="I37" s="5">
        <v>1</v>
      </c>
      <c r="J37" s="5">
        <v>0</v>
      </c>
      <c r="K37" s="5">
        <v>0</v>
      </c>
    </row>
    <row r="38" spans="2:11" x14ac:dyDescent="0.25">
      <c r="C38" s="3" t="s">
        <v>62</v>
      </c>
      <c r="H38" s="5">
        <v>0</v>
      </c>
      <c r="I38" s="5">
        <v>0</v>
      </c>
      <c r="J38" s="5">
        <v>1</v>
      </c>
      <c r="K38" s="5">
        <v>0</v>
      </c>
    </row>
    <row r="39" spans="2:11" x14ac:dyDescent="0.25">
      <c r="B39" s="4" t="s">
        <v>63</v>
      </c>
      <c r="C39" s="11">
        <f>IF('1 Task'!$C$10=0,1,0)</f>
        <v>0</v>
      </c>
      <c r="D39" s="11">
        <f>IF('1 Task'!$C$10=1,1,0)</f>
        <v>0</v>
      </c>
      <c r="E39" s="11">
        <f>IF('1 Task'!$C$10=2,1,0)</f>
        <v>1</v>
      </c>
      <c r="F39" s="11">
        <f>IF('1 Task'!$C$10=3,1,0)</f>
        <v>0</v>
      </c>
      <c r="H39" s="7">
        <f>C39*H35+D39*H36+E39*H37+F39*H38</f>
        <v>0</v>
      </c>
      <c r="I39" s="7">
        <f>C39*I35+D39*I36+E39*I37+F39*I38</f>
        <v>1</v>
      </c>
      <c r="J39" s="7">
        <f>C39*J35+D39*J36+E39*J37+F39*J38</f>
        <v>0</v>
      </c>
      <c r="K39" s="7">
        <f>C39*K35+D39*K36+E39*K37+F39*K38</f>
        <v>0</v>
      </c>
    </row>
    <row r="40" spans="2:11" x14ac:dyDescent="0.25">
      <c r="B40" s="4" t="s">
        <v>64</v>
      </c>
      <c r="C40" s="11">
        <f>IF('1 Task'!$C$11=0,1,0)</f>
        <v>1</v>
      </c>
      <c r="D40" s="11">
        <f>IF('1 Task'!$C$11=1,1,0)</f>
        <v>0</v>
      </c>
      <c r="E40" s="11">
        <f>IF('1 Task'!$C$11=2,1,0)</f>
        <v>0</v>
      </c>
      <c r="F40" s="11">
        <f>IF('1 Task'!$C$11=3,1,0)</f>
        <v>0</v>
      </c>
      <c r="H40" s="7">
        <f>C40*H35+D40*H36+E40*H37+F40*H38</f>
        <v>0</v>
      </c>
      <c r="I40" s="7">
        <f>C40*I35+D40*I36+E40*I37+F40*I38</f>
        <v>0</v>
      </c>
      <c r="J40" s="7">
        <f>C40*J35+D40*J36+E40*J37+F40*J38</f>
        <v>0</v>
      </c>
      <c r="K40" s="7">
        <f>C40*K35+D40*K36+E40*K37+F40*K38</f>
        <v>1</v>
      </c>
    </row>
    <row r="41" spans="2:11" x14ac:dyDescent="0.25">
      <c r="B41" s="4" t="s">
        <v>65</v>
      </c>
      <c r="C41" s="11">
        <f>IF('1 Task'!$C$12=0,1,0)</f>
        <v>0</v>
      </c>
      <c r="D41" s="11">
        <f>IF('1 Task'!$C$12=1,1,0)</f>
        <v>0</v>
      </c>
      <c r="E41" s="11">
        <f>IF('1 Task'!$C$12=2,1,0)</f>
        <v>0</v>
      </c>
      <c r="F41" s="11">
        <f>IF('1 Task'!$C$12=3,1,0)</f>
        <v>1</v>
      </c>
      <c r="H41" s="7">
        <f>C41*H35+D41*H36+E41*H37+F41*H38</f>
        <v>0</v>
      </c>
      <c r="I41" s="7">
        <f>C41*I35+D41*I36+E41*I37+F41*I38</f>
        <v>0</v>
      </c>
      <c r="J41" s="7">
        <f>C41*J35+D41*J36+E41*J37+F41*J38</f>
        <v>1</v>
      </c>
      <c r="K41" s="7">
        <f>C41*K35+D41*K36+E41*K37+F41*K38</f>
        <v>0</v>
      </c>
    </row>
    <row r="42" spans="2:11" x14ac:dyDescent="0.25">
      <c r="B42" s="4" t="s">
        <v>66</v>
      </c>
      <c r="C42" s="11">
        <f>IF('1 Task'!$C$13=0,1,0)</f>
        <v>0</v>
      </c>
      <c r="D42" s="11">
        <f>IF('1 Task'!$C$13=1,1,0)</f>
        <v>1</v>
      </c>
      <c r="E42" s="11">
        <f>IF('1 Task'!$C$13=2,1,0)</f>
        <v>0</v>
      </c>
      <c r="F42" s="11">
        <f>IF('1 Task'!$C$13=3,1,0)</f>
        <v>0</v>
      </c>
      <c r="H42" s="7">
        <f>C42*H35+D42*H36+E42*H37+F42*H38</f>
        <v>1</v>
      </c>
      <c r="I42" s="7">
        <f>C42*I35+D42*I36+E42*I37+F42*I38</f>
        <v>0</v>
      </c>
      <c r="J42" s="7">
        <f>C42*J35+D42*J36+E42*J37+F42*J38</f>
        <v>0</v>
      </c>
      <c r="K42" s="7">
        <f>C42*K35+D42*K36+E42*K37+F42*K38</f>
        <v>0</v>
      </c>
    </row>
    <row r="43" spans="2:11" x14ac:dyDescent="0.25">
      <c r="H43" s="3" t="s">
        <v>67</v>
      </c>
    </row>
    <row r="45" spans="2:11" x14ac:dyDescent="0.25">
      <c r="B45" s="10" t="s">
        <v>68</v>
      </c>
    </row>
    <row r="46" spans="2:11" x14ac:dyDescent="0.25">
      <c r="H46" s="3" t="s">
        <v>69</v>
      </c>
    </row>
    <row r="47" spans="2:11" x14ac:dyDescent="0.25">
      <c r="H47" s="4" t="s">
        <v>47</v>
      </c>
      <c r="I47" s="4" t="s">
        <v>48</v>
      </c>
      <c r="J47" s="4" t="s">
        <v>49</v>
      </c>
      <c r="K47" s="4" t="s">
        <v>50</v>
      </c>
    </row>
    <row r="48" spans="2:11" x14ac:dyDescent="0.25">
      <c r="H48" s="12">
        <f>I12</f>
        <v>1</v>
      </c>
      <c r="I48" s="12">
        <f>I13</f>
        <v>0</v>
      </c>
      <c r="J48" s="12">
        <f>I14</f>
        <v>0</v>
      </c>
      <c r="K48" s="12">
        <f>I15</f>
        <v>0</v>
      </c>
    </row>
    <row r="49" spans="2:11" x14ac:dyDescent="0.25">
      <c r="H49" s="12">
        <f>J12</f>
        <v>0</v>
      </c>
      <c r="I49" s="12">
        <f>J13</f>
        <v>1</v>
      </c>
      <c r="J49" s="12">
        <f>J14</f>
        <v>0</v>
      </c>
      <c r="K49" s="12">
        <f>J15</f>
        <v>0</v>
      </c>
    </row>
    <row r="50" spans="2:11" x14ac:dyDescent="0.25">
      <c r="H50" s="12">
        <f>K12</f>
        <v>0</v>
      </c>
      <c r="I50" s="12">
        <f>K13</f>
        <v>0</v>
      </c>
      <c r="J50" s="12">
        <f>K14</f>
        <v>1</v>
      </c>
      <c r="K50" s="12">
        <f>K15</f>
        <v>0</v>
      </c>
    </row>
    <row r="51" spans="2:11" x14ac:dyDescent="0.25">
      <c r="C51" s="3" t="s">
        <v>70</v>
      </c>
      <c r="H51" s="12">
        <f>L12</f>
        <v>0</v>
      </c>
      <c r="I51" s="12">
        <f>L13</f>
        <v>0</v>
      </c>
      <c r="J51" s="12">
        <f>L14</f>
        <v>0</v>
      </c>
      <c r="K51" s="12">
        <f>L15</f>
        <v>1</v>
      </c>
    </row>
    <row r="52" spans="2:11" x14ac:dyDescent="0.25">
      <c r="B52" s="4" t="s">
        <v>63</v>
      </c>
      <c r="C52" s="11">
        <f t="shared" ref="C52:F55" si="0">H39</f>
        <v>0</v>
      </c>
      <c r="D52" s="11">
        <f t="shared" si="0"/>
        <v>1</v>
      </c>
      <c r="E52" s="11">
        <f t="shared" si="0"/>
        <v>0</v>
      </c>
      <c r="F52" s="11">
        <f t="shared" si="0"/>
        <v>0</v>
      </c>
      <c r="H52" s="7">
        <f>C52*H48+D52*H49+E52*H50+F52*H51</f>
        <v>0</v>
      </c>
      <c r="I52" s="7">
        <f>C52*I48+D52*I49+E52*I50+F52*I51</f>
        <v>1</v>
      </c>
      <c r="J52" s="7">
        <f>C52*J48+D52*J49+E52*J50+F52*J51</f>
        <v>0</v>
      </c>
      <c r="K52" s="7">
        <f>C52*K48+D52*K49+E52*K50+F52*K51</f>
        <v>0</v>
      </c>
    </row>
    <row r="53" spans="2:11" x14ac:dyDescent="0.25">
      <c r="B53" s="4" t="s">
        <v>64</v>
      </c>
      <c r="C53" s="11">
        <f t="shared" si="0"/>
        <v>0</v>
      </c>
      <c r="D53" s="11">
        <f t="shared" si="0"/>
        <v>0</v>
      </c>
      <c r="E53" s="11">
        <f t="shared" si="0"/>
        <v>0</v>
      </c>
      <c r="F53" s="11">
        <f t="shared" si="0"/>
        <v>1</v>
      </c>
      <c r="H53" s="7">
        <f>C53*H48+D53*H49+E53*H50+F53*H51</f>
        <v>0</v>
      </c>
      <c r="I53" s="7">
        <f>C53*I48+D53*I49+E53*I50+F53*I51</f>
        <v>0</v>
      </c>
      <c r="J53" s="7">
        <f>C53*J48+D53*J49+E53*J50+F53*J51</f>
        <v>0</v>
      </c>
      <c r="K53" s="7">
        <f>C53*K48+D53*K49+E53*K50+F53*K51</f>
        <v>1</v>
      </c>
    </row>
    <row r="54" spans="2:11" x14ac:dyDescent="0.25">
      <c r="B54" s="4" t="s">
        <v>65</v>
      </c>
      <c r="C54" s="11">
        <f t="shared" si="0"/>
        <v>0</v>
      </c>
      <c r="D54" s="11">
        <f t="shared" si="0"/>
        <v>0</v>
      </c>
      <c r="E54" s="11">
        <f t="shared" si="0"/>
        <v>1</v>
      </c>
      <c r="F54" s="11">
        <f t="shared" si="0"/>
        <v>0</v>
      </c>
      <c r="H54" s="7">
        <f>C54*H48+D54*H49+E54*H50+F54*H51</f>
        <v>0</v>
      </c>
      <c r="I54" s="7">
        <f>C54*I48+D54*I49+E54*I50+F54*I51</f>
        <v>0</v>
      </c>
      <c r="J54" s="7">
        <f>C54*J48+D54*J49+E54*J50+F54*J51</f>
        <v>1</v>
      </c>
      <c r="K54" s="7">
        <f>C54*K48+D54*K49+E54*K50+F54*K51</f>
        <v>0</v>
      </c>
    </row>
    <row r="55" spans="2:11" x14ac:dyDescent="0.25">
      <c r="B55" s="4" t="s">
        <v>66</v>
      </c>
      <c r="C55" s="11">
        <f t="shared" si="0"/>
        <v>1</v>
      </c>
      <c r="D55" s="11">
        <f t="shared" si="0"/>
        <v>0</v>
      </c>
      <c r="E55" s="11">
        <f t="shared" si="0"/>
        <v>0</v>
      </c>
      <c r="F55" s="11">
        <f t="shared" si="0"/>
        <v>0</v>
      </c>
      <c r="H55" s="7">
        <f>C55*H48+D55*H49+E55*H50+F55*H51</f>
        <v>1</v>
      </c>
      <c r="I55" s="7">
        <f>C55*I48+D55*I49+E55*I50+F55*I51</f>
        <v>0</v>
      </c>
      <c r="J55" s="7">
        <f>C55*J48+D55*J49+E55*J50+F55*J51</f>
        <v>0</v>
      </c>
      <c r="K55" s="7">
        <f>C55*K48+D55*K49+E55*K50+F55*K51</f>
        <v>0</v>
      </c>
    </row>
    <row r="56" spans="2:11" x14ac:dyDescent="0.25">
      <c r="H56" s="3" t="s">
        <v>71</v>
      </c>
    </row>
    <row r="58" spans="2:11" x14ac:dyDescent="0.25">
      <c r="B58" s="10" t="s">
        <v>72</v>
      </c>
    </row>
    <row r="59" spans="2:11" x14ac:dyDescent="0.25">
      <c r="C59" s="2" t="s">
        <v>73</v>
      </c>
      <c r="D59" s="9">
        <v>10</v>
      </c>
    </row>
    <row r="60" spans="2:11" x14ac:dyDescent="0.25">
      <c r="C60" s="3" t="s">
        <v>74</v>
      </c>
      <c r="D60" s="4" t="s">
        <v>47</v>
      </c>
      <c r="E60" s="4" t="s">
        <v>48</v>
      </c>
      <c r="F60" s="4" t="s">
        <v>49</v>
      </c>
      <c r="G60" s="4" t="s">
        <v>50</v>
      </c>
      <c r="H60" s="4" t="s">
        <v>75</v>
      </c>
    </row>
    <row r="61" spans="2:11" x14ac:dyDescent="0.25">
      <c r="C61" s="4" t="s">
        <v>63</v>
      </c>
      <c r="D61" s="13">
        <f>EXP($D$59*H52)/(EXP($D$59*H52)+EXP($D$59*I52)+EXP($D$59*J52)+EXP($D$59*K52))</f>
        <v>4.5393747143688908E-5</v>
      </c>
      <c r="E61" s="13">
        <f>EXP($D$59*I52)/(EXP($D$59*H52)+EXP($D$59*I52)+EXP($D$59*J52)+EXP($D$59*K52))</f>
        <v>0.99986381875856889</v>
      </c>
      <c r="F61" s="13">
        <f>EXP($D$59*J52)/(EXP($D$59*H52)+EXP($D$59*I52)+EXP($D$59*J52)+EXP($D$59*K52))</f>
        <v>4.5393747143688908E-5</v>
      </c>
      <c r="G61" s="13">
        <f>EXP($D$59*K52)/(EXP($D$59*H52)+EXP($D$59*I52)+EXP($D$59*J52)+EXP($D$59*K52))</f>
        <v>4.5393747143688908E-5</v>
      </c>
      <c r="H61" s="13">
        <f>SUM(D61:G61)</f>
        <v>1</v>
      </c>
    </row>
    <row r="62" spans="2:11" x14ac:dyDescent="0.25">
      <c r="C62" s="4" t="s">
        <v>64</v>
      </c>
      <c r="D62" s="13">
        <f>EXP($D$59*H53)/(EXP($D$59*H53)+EXP($D$59*I53)+EXP($D$59*J53)+EXP($D$59*K53))</f>
        <v>4.5393747143688908E-5</v>
      </c>
      <c r="E62" s="13">
        <f>EXP($D$59*I53)/(EXP($D$59*H53)+EXP($D$59*I53)+EXP($D$59*J53)+EXP($D$59*K53))</f>
        <v>4.5393747143688908E-5</v>
      </c>
      <c r="F62" s="13">
        <f>EXP($D$59*J53)/(EXP($D$59*H53)+EXP($D$59*I53)+EXP($D$59*J53)+EXP($D$59*K53))</f>
        <v>4.5393747143688908E-5</v>
      </c>
      <c r="G62" s="13">
        <f>EXP($D$59*K53)/(EXP($D$59*H53)+EXP($D$59*I53)+EXP($D$59*J53)+EXP($D$59*K53))</f>
        <v>0.99986381875856889</v>
      </c>
      <c r="H62" s="13">
        <f>SUM(D62:G62)</f>
        <v>1</v>
      </c>
    </row>
    <row r="63" spans="2:11" x14ac:dyDescent="0.25">
      <c r="C63" s="4" t="s">
        <v>65</v>
      </c>
      <c r="D63" s="13">
        <f>EXP($D$59*H54)/(EXP($D$59*H54)+EXP($D$59*I54)+EXP($D$59*J54)+EXP($D$59*K54))</f>
        <v>4.5393747143688908E-5</v>
      </c>
      <c r="E63" s="13">
        <f>EXP($D$59*I54)/(EXP($D$59*H54)+EXP($D$59*I54)+EXP($D$59*J54)+EXP($D$59*K54))</f>
        <v>4.5393747143688908E-5</v>
      </c>
      <c r="F63" s="13">
        <f>EXP($D$59*J54)/(EXP($D$59*H54)+EXP($D$59*I54)+EXP($D$59*J54)+EXP($D$59*K54))</f>
        <v>0.99986381875856889</v>
      </c>
      <c r="G63" s="13">
        <f>EXP($D$59*K54)/(EXP($D$59*H54)+EXP($D$59*I54)+EXP($D$59*J54)+EXP($D$59*K54))</f>
        <v>4.5393747143688908E-5</v>
      </c>
      <c r="H63" s="13">
        <f>SUM(D63:G63)</f>
        <v>1</v>
      </c>
    </row>
    <row r="64" spans="2:11" x14ac:dyDescent="0.25">
      <c r="C64" s="4" t="s">
        <v>66</v>
      </c>
      <c r="D64" s="13">
        <f>EXP($D$59*H55)/(EXP($D$59*H55)+EXP($D$59*I55)+EXP($D$59*J55)+EXP($D$59*K55))</f>
        <v>0.99986381875856889</v>
      </c>
      <c r="E64" s="13">
        <f>EXP($D$59*I55)/(EXP($D$59*H55)+EXP($D$59*I55)+EXP($D$59*J55)+EXP($D$59*K55))</f>
        <v>4.5393747143688908E-5</v>
      </c>
      <c r="F64" s="13">
        <f>EXP($D$59*J55)/(EXP($D$59*H55)+EXP($D$59*I55)+EXP($D$59*J55)+EXP($D$59*K55))</f>
        <v>4.5393747143688908E-5</v>
      </c>
      <c r="G64" s="13">
        <f>EXP($D$59*K55)/(EXP($D$59*H55)+EXP($D$59*I55)+EXP($D$59*J55)+EXP($D$59*K55))</f>
        <v>4.5393747143688908E-5</v>
      </c>
      <c r="H64" s="13">
        <f>SUM(D64:G64)</f>
        <v>1</v>
      </c>
    </row>
    <row r="66" spans="2:10" x14ac:dyDescent="0.25">
      <c r="B66" s="10" t="s">
        <v>76</v>
      </c>
    </row>
    <row r="67" spans="2:10" x14ac:dyDescent="0.25">
      <c r="H67" s="3" t="s">
        <v>77</v>
      </c>
    </row>
    <row r="68" spans="2:10" x14ac:dyDescent="0.25">
      <c r="H68" s="4" t="s">
        <v>78</v>
      </c>
    </row>
    <row r="69" spans="2:10" x14ac:dyDescent="0.25">
      <c r="H69" s="12">
        <f>I26</f>
        <v>2</v>
      </c>
    </row>
    <row r="70" spans="2:10" x14ac:dyDescent="0.25">
      <c r="H70" s="12">
        <f>I27</f>
        <v>1</v>
      </c>
    </row>
    <row r="71" spans="2:10" x14ac:dyDescent="0.25">
      <c r="H71" s="12">
        <f>I28</f>
        <v>-3</v>
      </c>
    </row>
    <row r="72" spans="2:10" x14ac:dyDescent="0.25">
      <c r="C72" s="3" t="s">
        <v>79</v>
      </c>
      <c r="H72" s="12">
        <f>I29</f>
        <v>6</v>
      </c>
      <c r="J72" s="3" t="s">
        <v>86</v>
      </c>
    </row>
    <row r="73" spans="2:10" x14ac:dyDescent="0.25">
      <c r="B73" s="4" t="s">
        <v>63</v>
      </c>
      <c r="C73" s="14">
        <f t="shared" ref="C73:F76" si="1">D61</f>
        <v>4.5393747143688908E-5</v>
      </c>
      <c r="D73" s="14">
        <f t="shared" si="1"/>
        <v>0.99986381875856889</v>
      </c>
      <c r="E73" s="14">
        <f t="shared" si="1"/>
        <v>4.5393747143688908E-5</v>
      </c>
      <c r="F73" s="14">
        <f t="shared" si="1"/>
        <v>4.5393747143688908E-5</v>
      </c>
      <c r="H73" s="15">
        <f>C73*H69+D73*H70+E73*H71+F73*H72</f>
        <v>1.0000907874942873</v>
      </c>
      <c r="J73" s="8">
        <f>'1 Task'!$I$10</f>
        <v>1</v>
      </c>
    </row>
    <row r="74" spans="2:10" x14ac:dyDescent="0.25">
      <c r="B74" s="4" t="s">
        <v>64</v>
      </c>
      <c r="C74" s="14">
        <f t="shared" si="1"/>
        <v>4.5393747143688908E-5</v>
      </c>
      <c r="D74" s="14">
        <f t="shared" si="1"/>
        <v>4.5393747143688908E-5</v>
      </c>
      <c r="E74" s="14">
        <f t="shared" si="1"/>
        <v>4.5393747143688908E-5</v>
      </c>
      <c r="F74" s="14">
        <f t="shared" si="1"/>
        <v>0.99986381875856889</v>
      </c>
      <c r="H74" s="15">
        <f>C74*H69+D74*H70+E74*H71+F74*H72</f>
        <v>5.9991829125514133</v>
      </c>
      <c r="J74" s="8">
        <f>'1 Task'!$I$11</f>
        <v>6</v>
      </c>
    </row>
    <row r="75" spans="2:10" x14ac:dyDescent="0.25">
      <c r="B75" s="4" t="s">
        <v>65</v>
      </c>
      <c r="C75" s="14">
        <f t="shared" si="1"/>
        <v>4.5393747143688908E-5</v>
      </c>
      <c r="D75" s="14">
        <f t="shared" si="1"/>
        <v>4.5393747143688908E-5</v>
      </c>
      <c r="E75" s="14">
        <f t="shared" si="1"/>
        <v>0.99986381875856889</v>
      </c>
      <c r="F75" s="14">
        <f t="shared" si="1"/>
        <v>4.5393747143688908E-5</v>
      </c>
      <c r="H75" s="15">
        <f>C75*H69+D75*H70+E75*H71+F75*H72</f>
        <v>-2.9991829125514133</v>
      </c>
      <c r="J75" s="8">
        <f>'1 Task'!$I$12</f>
        <v>-3</v>
      </c>
    </row>
    <row r="76" spans="2:10" x14ac:dyDescent="0.25">
      <c r="B76" s="4" t="s">
        <v>66</v>
      </c>
      <c r="C76" s="14">
        <f t="shared" si="1"/>
        <v>0.99986381875856889</v>
      </c>
      <c r="D76" s="14">
        <f t="shared" si="1"/>
        <v>4.5393747143688908E-5</v>
      </c>
      <c r="E76" s="14">
        <f t="shared" si="1"/>
        <v>4.5393747143688908E-5</v>
      </c>
      <c r="F76" s="14">
        <f t="shared" si="1"/>
        <v>4.5393747143688908E-5</v>
      </c>
      <c r="H76" s="15">
        <f>C76*H69+D76*H70+E76*H71+F76*H72</f>
        <v>1.9999092125057125</v>
      </c>
      <c r="J76" s="8">
        <f>'1 Task'!$I$13</f>
        <v>2</v>
      </c>
    </row>
    <row r="77" spans="2:10" x14ac:dyDescent="0.25">
      <c r="H77" s="3" t="s">
        <v>87</v>
      </c>
    </row>
    <row r="79" spans="2:10" x14ac:dyDescent="0.25">
      <c r="B79" s="10" t="s">
        <v>88</v>
      </c>
    </row>
    <row r="80" spans="2:10" x14ac:dyDescent="0.25">
      <c r="C80" s="2" t="s">
        <v>89</v>
      </c>
      <c r="D80" s="9">
        <v>1</v>
      </c>
      <c r="F80" s="2" t="s">
        <v>90</v>
      </c>
      <c r="G80" s="9">
        <v>1</v>
      </c>
    </row>
    <row r="82" spans="2:14" x14ac:dyDescent="0.25">
      <c r="F82" s="3" t="s">
        <v>91</v>
      </c>
    </row>
    <row r="83" spans="2:14" x14ac:dyDescent="0.25">
      <c r="F83" s="4" t="s">
        <v>92</v>
      </c>
      <c r="G83" s="4" t="s">
        <v>93</v>
      </c>
    </row>
    <row r="84" spans="2:14" x14ac:dyDescent="0.25">
      <c r="F84" s="5">
        <v>1</v>
      </c>
      <c r="G84" s="5">
        <v>0</v>
      </c>
    </row>
    <row r="85" spans="2:14" x14ac:dyDescent="0.25">
      <c r="C85" s="3" t="s">
        <v>94</v>
      </c>
      <c r="F85" s="5">
        <v>0</v>
      </c>
      <c r="G85" s="5">
        <v>1</v>
      </c>
      <c r="I85" s="3" t="s">
        <v>95</v>
      </c>
      <c r="L85" s="3" t="s">
        <v>96</v>
      </c>
    </row>
    <row r="86" spans="2:14" x14ac:dyDescent="0.25">
      <c r="B86" s="4" t="s">
        <v>63</v>
      </c>
      <c r="C86" s="14">
        <f>$D$80*'2 One head'!H74</f>
        <v>5.9991829125514133</v>
      </c>
      <c r="D86" s="14">
        <f>$G$80*H73</f>
        <v>1.0000907874942873</v>
      </c>
      <c r="F86" s="15">
        <f>C86*F84+D86*F85</f>
        <v>5.9991829125514133</v>
      </c>
      <c r="G86" s="15">
        <f>C86*G84+D86*G85</f>
        <v>1.0000907874942873</v>
      </c>
      <c r="I86" s="8">
        <f>'1 Task'!$F$10</f>
        <v>6</v>
      </c>
      <c r="J86" s="8">
        <f>'1 Task'!$I$10</f>
        <v>1</v>
      </c>
      <c r="L86" s="13">
        <f t="shared" ref="L86:M89" si="2">(F86-I86)^2</f>
        <v>6.6763189863786087E-7</v>
      </c>
      <c r="M86" s="13">
        <f t="shared" si="2"/>
        <v>8.2423691189590579E-9</v>
      </c>
    </row>
    <row r="87" spans="2:14" x14ac:dyDescent="0.25">
      <c r="B87" s="4" t="s">
        <v>64</v>
      </c>
      <c r="C87" s="14">
        <f>$D$80*'2 One head'!H75</f>
        <v>1.0000907874942873</v>
      </c>
      <c r="D87" s="14">
        <f>$G$80*H74</f>
        <v>5.9991829125514133</v>
      </c>
      <c r="F87" s="15">
        <f>C87*F84+D87*F85</f>
        <v>1.0000907874942873</v>
      </c>
      <c r="G87" s="15">
        <f>C87*G84+D87*G85</f>
        <v>5.9991829125514133</v>
      </c>
      <c r="I87" s="8">
        <f>'1 Task'!$F$11</f>
        <v>1</v>
      </c>
      <c r="J87" s="8">
        <f>'1 Task'!$I$11</f>
        <v>6</v>
      </c>
      <c r="L87" s="13">
        <f t="shared" si="2"/>
        <v>8.2423691189590579E-9</v>
      </c>
      <c r="M87" s="13">
        <f t="shared" si="2"/>
        <v>6.6763189863786087E-7</v>
      </c>
    </row>
    <row r="88" spans="2:14" x14ac:dyDescent="0.25">
      <c r="B88" s="4" t="s">
        <v>65</v>
      </c>
      <c r="C88" s="14">
        <f>$D$80*'2 One head'!H76</f>
        <v>1.9999092125057125</v>
      </c>
      <c r="D88" s="14">
        <f>$G$80*H75</f>
        <v>-2.9991829125514133</v>
      </c>
      <c r="F88" s="15">
        <f>C88*F84+D88*F85</f>
        <v>1.9999092125057125</v>
      </c>
      <c r="G88" s="15">
        <f>C88*G84+D88*G85</f>
        <v>-2.9991829125514133</v>
      </c>
      <c r="I88" s="8">
        <f>'1 Task'!$F$12</f>
        <v>2</v>
      </c>
      <c r="J88" s="8">
        <f>'1 Task'!$I$12</f>
        <v>-3</v>
      </c>
      <c r="L88" s="13">
        <f t="shared" si="2"/>
        <v>8.2423691189993763E-9</v>
      </c>
      <c r="M88" s="13">
        <f t="shared" si="2"/>
        <v>6.6763189863786087E-7</v>
      </c>
    </row>
    <row r="89" spans="2:14" x14ac:dyDescent="0.25">
      <c r="B89" s="4" t="s">
        <v>66</v>
      </c>
      <c r="C89" s="14">
        <f>$D$80*'2 One head'!H77</f>
        <v>-2.9991829125514133</v>
      </c>
      <c r="D89" s="14">
        <f>$G$80*H76</f>
        <v>1.9999092125057125</v>
      </c>
      <c r="F89" s="15">
        <f>C89*F84+D89*F85</f>
        <v>-2.9991829125514133</v>
      </c>
      <c r="G89" s="15">
        <f>C89*G84+D89*G85</f>
        <v>1.9999092125057125</v>
      </c>
      <c r="I89" s="8">
        <f>'1 Task'!$F$13</f>
        <v>-3</v>
      </c>
      <c r="J89" s="8">
        <f>'1 Task'!$I$13</f>
        <v>2</v>
      </c>
      <c r="L89" s="13">
        <f t="shared" si="2"/>
        <v>6.6763189863786087E-7</v>
      </c>
      <c r="M89" s="13">
        <f t="shared" si="2"/>
        <v>8.2423691189993763E-9</v>
      </c>
    </row>
    <row r="90" spans="2:14" x14ac:dyDescent="0.25">
      <c r="F90" s="3" t="s">
        <v>97</v>
      </c>
    </row>
    <row r="91" spans="2:14" x14ac:dyDescent="0.25">
      <c r="L91" s="3" t="s">
        <v>98</v>
      </c>
      <c r="N91" s="15">
        <f>AVERAGE(L86:M89)</f>
        <v>3.3793713387842001E-7</v>
      </c>
    </row>
    <row r="93" spans="2:14" x14ac:dyDescent="0.25">
      <c r="B93" s="2" t="s">
        <v>99</v>
      </c>
    </row>
    <row r="94" spans="2:14" x14ac:dyDescent="0.25">
      <c r="B94" s="2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0"/>
  <sheetViews>
    <sheetView showGridLines="0" workbookViewId="0"/>
  </sheetViews>
  <sheetFormatPr defaultRowHeight="15" x14ac:dyDescent="0.25"/>
  <cols>
    <col min="1" max="1" width="2.42578125" customWidth="1"/>
    <col min="2" max="39" width="10" customWidth="1"/>
  </cols>
  <sheetData>
    <row r="1" spans="2:7" ht="18" x14ac:dyDescent="0.25">
      <c r="B1" s="1" t="s">
        <v>101</v>
      </c>
    </row>
    <row r="2" spans="2:7" x14ac:dyDescent="0.25">
      <c r="B2" s="2" t="s">
        <v>102</v>
      </c>
    </row>
    <row r="3" spans="2:7" x14ac:dyDescent="0.25">
      <c r="B3" s="2" t="s">
        <v>103</v>
      </c>
    </row>
    <row r="5" spans="2:7" x14ac:dyDescent="0.25">
      <c r="F5" s="3" t="s">
        <v>104</v>
      </c>
    </row>
    <row r="6" spans="2:7" x14ac:dyDescent="0.25">
      <c r="F6" s="4" t="s">
        <v>105</v>
      </c>
    </row>
    <row r="7" spans="2:7" x14ac:dyDescent="0.25">
      <c r="F7" s="12">
        <f>'1 Task'!$F$10</f>
        <v>6</v>
      </c>
    </row>
    <row r="8" spans="2:7" x14ac:dyDescent="0.25">
      <c r="C8" s="3" t="s">
        <v>106</v>
      </c>
      <c r="F8" s="12">
        <f>'1 Task'!$I$10</f>
        <v>1</v>
      </c>
    </row>
    <row r="9" spans="2:7" x14ac:dyDescent="0.25">
      <c r="B9" s="4" t="s">
        <v>107</v>
      </c>
      <c r="C9" s="6">
        <v>1</v>
      </c>
      <c r="D9" s="6">
        <v>0</v>
      </c>
      <c r="F9" s="7">
        <f>C9*F7+D9*F8</f>
        <v>6</v>
      </c>
    </row>
    <row r="10" spans="2:7" x14ac:dyDescent="0.25">
      <c r="B10" s="4" t="s">
        <v>108</v>
      </c>
      <c r="C10" s="6">
        <v>0</v>
      </c>
      <c r="D10" s="6">
        <v>1</v>
      </c>
      <c r="F10" s="7">
        <f>C10*F7+D10*F8</f>
        <v>1</v>
      </c>
    </row>
    <row r="11" spans="2:7" x14ac:dyDescent="0.25">
      <c r="F11" s="3" t="s">
        <v>109</v>
      </c>
    </row>
    <row r="13" spans="2:7" x14ac:dyDescent="0.25">
      <c r="B13" s="2" t="s">
        <v>110</v>
      </c>
    </row>
    <row r="14" spans="2:7" x14ac:dyDescent="0.25">
      <c r="C14" s="2" t="s">
        <v>111</v>
      </c>
      <c r="G14" s="8">
        <f>(C9*D10-D9*C10)</f>
        <v>1</v>
      </c>
    </row>
    <row r="15" spans="2:7" x14ac:dyDescent="0.25">
      <c r="C15" s="2" t="s">
        <v>112</v>
      </c>
      <c r="G15" s="7">
        <f>IF((C9*D10-D9*C10)=0,"cannot",(D10*F9-D9*F10)/(C9*D10-D9*C10))</f>
        <v>6</v>
      </c>
    </row>
    <row r="16" spans="2:7" x14ac:dyDescent="0.25">
      <c r="C16" s="2" t="s">
        <v>113</v>
      </c>
      <c r="G16" s="7">
        <f>IF((C9*D10-D9*C10)=0,"cannot",(C9*F10-C10*F9)/(C9*D10-D9*C10))</f>
        <v>1</v>
      </c>
    </row>
    <row r="18" spans="2:7" x14ac:dyDescent="0.25">
      <c r="B18" s="2" t="s">
        <v>114</v>
      </c>
    </row>
    <row r="19" spans="2:7" x14ac:dyDescent="0.25">
      <c r="B19" s="2" t="s">
        <v>115</v>
      </c>
    </row>
    <row r="21" spans="2:7" x14ac:dyDescent="0.25">
      <c r="B21" s="2" t="s">
        <v>116</v>
      </c>
    </row>
    <row r="22" spans="2:7" x14ac:dyDescent="0.25">
      <c r="B22" s="2" t="s">
        <v>117</v>
      </c>
    </row>
    <row r="24" spans="2:7" x14ac:dyDescent="0.25">
      <c r="C24" s="3" t="s">
        <v>118</v>
      </c>
      <c r="E24" s="3" t="s">
        <v>119</v>
      </c>
      <c r="G24" s="3" t="s">
        <v>120</v>
      </c>
    </row>
    <row r="25" spans="2:7" x14ac:dyDescent="0.25">
      <c r="C25" s="8">
        <v>4</v>
      </c>
      <c r="E25" s="13">
        <v>0</v>
      </c>
      <c r="G25" s="15">
        <f>(1-C25/4)*1.008</f>
        <v>0</v>
      </c>
    </row>
    <row r="26" spans="2:7" x14ac:dyDescent="0.25">
      <c r="C26" s="8">
        <v>3</v>
      </c>
      <c r="E26" s="13">
        <v>0.254</v>
      </c>
      <c r="G26" s="15">
        <f>(1-C26/4)*1.008</f>
        <v>0.252</v>
      </c>
    </row>
    <row r="27" spans="2:7" x14ac:dyDescent="0.25">
      <c r="C27" s="8">
        <v>2</v>
      </c>
      <c r="E27" s="13">
        <v>0.50700000000000001</v>
      </c>
      <c r="G27" s="15">
        <f>(1-C27/4)*1.008</f>
        <v>0.504</v>
      </c>
    </row>
    <row r="28" spans="2:7" x14ac:dyDescent="0.25">
      <c r="C28" s="8">
        <v>1</v>
      </c>
      <c r="E28" s="13">
        <v>0.75800000000000001</v>
      </c>
      <c r="G28" s="15">
        <f>(1-C28/4)*1.008</f>
        <v>0.75600000000000001</v>
      </c>
    </row>
    <row r="30" spans="2:7" x14ac:dyDescent="0.25">
      <c r="B30" s="16" t="s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72"/>
  <sheetViews>
    <sheetView showGridLines="0" workbookViewId="0"/>
  </sheetViews>
  <sheetFormatPr defaultRowHeight="15" x14ac:dyDescent="0.25"/>
  <cols>
    <col min="1" max="1" width="2.42578125" customWidth="1"/>
    <col min="2" max="39" width="8.42578125" customWidth="1"/>
  </cols>
  <sheetData>
    <row r="1" spans="2:14" ht="18" x14ac:dyDescent="0.25">
      <c r="B1" s="1" t="s">
        <v>122</v>
      </c>
    </row>
    <row r="2" spans="2:14" x14ac:dyDescent="0.25">
      <c r="B2" s="2" t="s">
        <v>123</v>
      </c>
    </row>
    <row r="3" spans="2:14" x14ac:dyDescent="0.25">
      <c r="B3" s="2" t="s">
        <v>124</v>
      </c>
    </row>
    <row r="4" spans="2:14" x14ac:dyDescent="0.25">
      <c r="B4" s="2" t="s">
        <v>125</v>
      </c>
    </row>
    <row r="6" spans="2:14" x14ac:dyDescent="0.25">
      <c r="B6" s="3" t="s">
        <v>126</v>
      </c>
    </row>
    <row r="7" spans="2:14" x14ac:dyDescent="0.25">
      <c r="C7" s="2" t="s">
        <v>127</v>
      </c>
      <c r="G7" s="9">
        <v>1</v>
      </c>
      <c r="H7" s="9">
        <v>1</v>
      </c>
      <c r="I7" s="9">
        <v>1</v>
      </c>
    </row>
    <row r="8" spans="2:14" x14ac:dyDescent="0.25">
      <c r="G8" s="3" t="s">
        <v>91</v>
      </c>
    </row>
    <row r="9" spans="2:14" x14ac:dyDescent="0.25">
      <c r="G9" s="4" t="s">
        <v>92</v>
      </c>
      <c r="H9" s="4" t="s">
        <v>93</v>
      </c>
    </row>
    <row r="10" spans="2:14" x14ac:dyDescent="0.25">
      <c r="G10" s="5">
        <v>0.5</v>
      </c>
      <c r="H10" s="5">
        <v>0</v>
      </c>
    </row>
    <row r="11" spans="2:14" x14ac:dyDescent="0.25">
      <c r="G11" s="5">
        <v>0</v>
      </c>
      <c r="H11" s="5">
        <v>1</v>
      </c>
    </row>
    <row r="12" spans="2:14" x14ac:dyDescent="0.25">
      <c r="C12" s="3" t="s">
        <v>128</v>
      </c>
      <c r="G12" s="5">
        <v>0.5</v>
      </c>
      <c r="H12" s="5">
        <v>0</v>
      </c>
      <c r="J12" s="3" t="s">
        <v>95</v>
      </c>
      <c r="M12" s="3" t="s">
        <v>96</v>
      </c>
    </row>
    <row r="13" spans="2:14" x14ac:dyDescent="0.25">
      <c r="B13" s="4" t="s">
        <v>63</v>
      </c>
      <c r="C13" s="11">
        <f>$G$7*'1 Task'!$F$10</f>
        <v>6</v>
      </c>
      <c r="D13" s="11">
        <f>$H$7*'1 Task'!$I$10</f>
        <v>1</v>
      </c>
      <c r="E13" s="11">
        <f>$I$7*'1 Task'!$F$10</f>
        <v>6</v>
      </c>
      <c r="G13" s="7">
        <f>C13*G10+D13*G11+E13*G12</f>
        <v>6</v>
      </c>
      <c r="H13" s="7">
        <f>C13*H10+D13*H11+E13*H12</f>
        <v>1</v>
      </c>
      <c r="J13" s="8">
        <f>'1 Task'!$F$10</f>
        <v>6</v>
      </c>
      <c r="K13" s="8">
        <f>'1 Task'!$I$10</f>
        <v>1</v>
      </c>
      <c r="M13" s="8">
        <f t="shared" ref="M13:N16" si="0">(G13-J13)^2</f>
        <v>0</v>
      </c>
      <c r="N13" s="8">
        <f t="shared" si="0"/>
        <v>0</v>
      </c>
    </row>
    <row r="14" spans="2:14" x14ac:dyDescent="0.25">
      <c r="B14" s="4" t="s">
        <v>64</v>
      </c>
      <c r="C14" s="11">
        <f>$G$7*'1 Task'!$F$11</f>
        <v>1</v>
      </c>
      <c r="D14" s="11">
        <f>$H$7*'1 Task'!$I$11</f>
        <v>6</v>
      </c>
      <c r="E14" s="11">
        <f>$I$7*'1 Task'!$F$11</f>
        <v>1</v>
      </c>
      <c r="G14" s="7">
        <f>C14*G10+D14*G11+E14*G12</f>
        <v>1</v>
      </c>
      <c r="H14" s="7">
        <f>C14*H10+D14*H11+E14*H12</f>
        <v>6</v>
      </c>
      <c r="J14" s="8">
        <f>'1 Task'!$F$11</f>
        <v>1</v>
      </c>
      <c r="K14" s="8">
        <f>'1 Task'!$I$11</f>
        <v>6</v>
      </c>
      <c r="M14" s="8">
        <f t="shared" si="0"/>
        <v>0</v>
      </c>
      <c r="N14" s="8">
        <f t="shared" si="0"/>
        <v>0</v>
      </c>
    </row>
    <row r="15" spans="2:14" x14ac:dyDescent="0.25">
      <c r="B15" s="4" t="s">
        <v>65</v>
      </c>
      <c r="C15" s="11">
        <f>$G$7*'1 Task'!$F$12</f>
        <v>2</v>
      </c>
      <c r="D15" s="11">
        <f>$H$7*'1 Task'!$I$12</f>
        <v>-3</v>
      </c>
      <c r="E15" s="11">
        <f>$I$7*'1 Task'!$F$12</f>
        <v>2</v>
      </c>
      <c r="G15" s="7">
        <f>C15*G10+D15*G11+E15*G12</f>
        <v>2</v>
      </c>
      <c r="H15" s="7">
        <f>C15*H10+D15*H11+E15*H12</f>
        <v>-3</v>
      </c>
      <c r="J15" s="8">
        <f>'1 Task'!$F$12</f>
        <v>2</v>
      </c>
      <c r="K15" s="8">
        <f>'1 Task'!$I$12</f>
        <v>-3</v>
      </c>
      <c r="M15" s="8">
        <f t="shared" si="0"/>
        <v>0</v>
      </c>
      <c r="N15" s="8">
        <f t="shared" si="0"/>
        <v>0</v>
      </c>
    </row>
    <row r="16" spans="2:14" x14ac:dyDescent="0.25">
      <c r="B16" s="4" t="s">
        <v>66</v>
      </c>
      <c r="C16" s="11">
        <f>$G$7*'1 Task'!$F$13</f>
        <v>-3</v>
      </c>
      <c r="D16" s="11">
        <f>$H$7*'1 Task'!$I$13</f>
        <v>2</v>
      </c>
      <c r="E16" s="11">
        <f>$I$7*'1 Task'!$F$13</f>
        <v>-3</v>
      </c>
      <c r="G16" s="7">
        <f>C16*G10+D16*G11+E16*G12</f>
        <v>-3</v>
      </c>
      <c r="H16" s="7">
        <f>C16*H10+D16*H11+E16*H12</f>
        <v>2</v>
      </c>
      <c r="J16" s="8">
        <f>'1 Task'!$F$13</f>
        <v>-3</v>
      </c>
      <c r="K16" s="8">
        <f>'1 Task'!$I$13</f>
        <v>2</v>
      </c>
      <c r="M16" s="8">
        <f t="shared" si="0"/>
        <v>0</v>
      </c>
      <c r="N16" s="8">
        <f t="shared" si="0"/>
        <v>0</v>
      </c>
    </row>
    <row r="17" spans="2:14" x14ac:dyDescent="0.25">
      <c r="G17" s="3" t="s">
        <v>97</v>
      </c>
      <c r="M17" s="3" t="s">
        <v>129</v>
      </c>
      <c r="N17" s="7">
        <f>AVERAGE(M13:N16)</f>
        <v>0</v>
      </c>
    </row>
    <row r="20" spans="2:14" x14ac:dyDescent="0.25">
      <c r="B20" s="3" t="s">
        <v>130</v>
      </c>
    </row>
    <row r="21" spans="2:14" x14ac:dyDescent="0.25">
      <c r="C21" s="2" t="s">
        <v>127</v>
      </c>
      <c r="G21" s="9">
        <v>0</v>
      </c>
      <c r="H21" s="9">
        <v>1</v>
      </c>
      <c r="I21" s="9">
        <v>1</v>
      </c>
    </row>
    <row r="22" spans="2:14" x14ac:dyDescent="0.25">
      <c r="G22" s="3" t="s">
        <v>91</v>
      </c>
    </row>
    <row r="23" spans="2:14" x14ac:dyDescent="0.25">
      <c r="G23" s="4" t="s">
        <v>92</v>
      </c>
      <c r="H23" s="4" t="s">
        <v>93</v>
      </c>
    </row>
    <row r="24" spans="2:14" x14ac:dyDescent="0.25">
      <c r="G24" s="5">
        <v>0.5</v>
      </c>
      <c r="H24" s="5">
        <v>0</v>
      </c>
    </row>
    <row r="25" spans="2:14" x14ac:dyDescent="0.25">
      <c r="G25" s="5">
        <v>0</v>
      </c>
      <c r="H25" s="5">
        <v>1</v>
      </c>
    </row>
    <row r="26" spans="2:14" x14ac:dyDescent="0.25">
      <c r="C26" s="3" t="s">
        <v>128</v>
      </c>
      <c r="G26" s="5">
        <v>0.5</v>
      </c>
      <c r="H26" s="5">
        <v>0</v>
      </c>
      <c r="J26" s="3" t="s">
        <v>95</v>
      </c>
      <c r="M26" s="3" t="s">
        <v>96</v>
      </c>
    </row>
    <row r="27" spans="2:14" x14ac:dyDescent="0.25">
      <c r="B27" s="4" t="s">
        <v>63</v>
      </c>
      <c r="C27" s="11">
        <f>$G$21*'1 Task'!$F$10</f>
        <v>0</v>
      </c>
      <c r="D27" s="11">
        <f>$H$21*'1 Task'!$I$10</f>
        <v>1</v>
      </c>
      <c r="E27" s="11">
        <f>$I$21*'1 Task'!$F$10</f>
        <v>6</v>
      </c>
      <c r="G27" s="7">
        <f>C27*G24+D27*G25+E27*G26</f>
        <v>3</v>
      </c>
      <c r="H27" s="7">
        <f>C27*H24+D27*H25+E27*H26</f>
        <v>1</v>
      </c>
      <c r="J27" s="8">
        <f>'1 Task'!$F$10</f>
        <v>6</v>
      </c>
      <c r="K27" s="8">
        <f>'1 Task'!$I$10</f>
        <v>1</v>
      </c>
      <c r="M27" s="8">
        <f t="shared" ref="M27:N30" si="1">(G27-J27)^2</f>
        <v>9</v>
      </c>
      <c r="N27" s="8">
        <f t="shared" si="1"/>
        <v>0</v>
      </c>
    </row>
    <row r="28" spans="2:14" x14ac:dyDescent="0.25">
      <c r="B28" s="4" t="s">
        <v>64</v>
      </c>
      <c r="C28" s="11">
        <f>$G$21*'1 Task'!$F$11</f>
        <v>0</v>
      </c>
      <c r="D28" s="11">
        <f>$H$21*'1 Task'!$I$11</f>
        <v>6</v>
      </c>
      <c r="E28" s="11">
        <f>$I$21*'1 Task'!$F$11</f>
        <v>1</v>
      </c>
      <c r="G28" s="7">
        <f>C28*G24+D28*G25+E28*G26</f>
        <v>0.5</v>
      </c>
      <c r="H28" s="7">
        <f>C28*H24+D28*H25+E28*H26</f>
        <v>6</v>
      </c>
      <c r="J28" s="8">
        <f>'1 Task'!$F$11</f>
        <v>1</v>
      </c>
      <c r="K28" s="8">
        <f>'1 Task'!$I$11</f>
        <v>6</v>
      </c>
      <c r="M28" s="8">
        <f t="shared" si="1"/>
        <v>0.25</v>
      </c>
      <c r="N28" s="8">
        <f t="shared" si="1"/>
        <v>0</v>
      </c>
    </row>
    <row r="29" spans="2:14" x14ac:dyDescent="0.25">
      <c r="B29" s="4" t="s">
        <v>65</v>
      </c>
      <c r="C29" s="11">
        <f>$G$21*'1 Task'!$F$12</f>
        <v>0</v>
      </c>
      <c r="D29" s="11">
        <f>$H$21*'1 Task'!$I$12</f>
        <v>-3</v>
      </c>
      <c r="E29" s="11">
        <f>$I$21*'1 Task'!$F$12</f>
        <v>2</v>
      </c>
      <c r="G29" s="7">
        <f>C29*G24+D29*G25+E29*G26</f>
        <v>1</v>
      </c>
      <c r="H29" s="7">
        <f>C29*H24+D29*H25+E29*H26</f>
        <v>-3</v>
      </c>
      <c r="J29" s="8">
        <f>'1 Task'!$F$12</f>
        <v>2</v>
      </c>
      <c r="K29" s="8">
        <f>'1 Task'!$I$12</f>
        <v>-3</v>
      </c>
      <c r="M29" s="8">
        <f t="shared" si="1"/>
        <v>1</v>
      </c>
      <c r="N29" s="8">
        <f t="shared" si="1"/>
        <v>0</v>
      </c>
    </row>
    <row r="30" spans="2:14" x14ac:dyDescent="0.25">
      <c r="B30" s="4" t="s">
        <v>66</v>
      </c>
      <c r="C30" s="11">
        <f>$G$21*'1 Task'!$F$13</f>
        <v>0</v>
      </c>
      <c r="D30" s="11">
        <f>$H$21*'1 Task'!$I$13</f>
        <v>2</v>
      </c>
      <c r="E30" s="11">
        <f>$I$21*'1 Task'!$F$13</f>
        <v>-3</v>
      </c>
      <c r="G30" s="7">
        <f>C30*G24+D30*G25+E30*G26</f>
        <v>-1.5</v>
      </c>
      <c r="H30" s="7">
        <f>C30*H24+D30*H25+E30*H26</f>
        <v>2</v>
      </c>
      <c r="J30" s="8">
        <f>'1 Task'!$F$13</f>
        <v>-3</v>
      </c>
      <c r="K30" s="8">
        <f>'1 Task'!$I$13</f>
        <v>2</v>
      </c>
      <c r="M30" s="8">
        <f t="shared" si="1"/>
        <v>2.25</v>
      </c>
      <c r="N30" s="8">
        <f t="shared" si="1"/>
        <v>0</v>
      </c>
    </row>
    <row r="31" spans="2:14" x14ac:dyDescent="0.25">
      <c r="G31" s="3" t="s">
        <v>97</v>
      </c>
      <c r="M31" s="3" t="s">
        <v>129</v>
      </c>
      <c r="N31" s="7">
        <f>AVERAGE(M27:N30)</f>
        <v>1.5625</v>
      </c>
    </row>
    <row r="34" spans="2:14" x14ac:dyDescent="0.25">
      <c r="B34" s="3" t="s">
        <v>131</v>
      </c>
    </row>
    <row r="35" spans="2:14" x14ac:dyDescent="0.25">
      <c r="C35" s="2" t="s">
        <v>127</v>
      </c>
      <c r="G35" s="9">
        <v>0</v>
      </c>
      <c r="H35" s="9">
        <v>1</v>
      </c>
      <c r="I35" s="9">
        <v>1</v>
      </c>
    </row>
    <row r="36" spans="2:14" x14ac:dyDescent="0.25">
      <c r="G36" s="3" t="s">
        <v>91</v>
      </c>
    </row>
    <row r="37" spans="2:14" x14ac:dyDescent="0.25">
      <c r="G37" s="4" t="s">
        <v>92</v>
      </c>
      <c r="H37" s="4" t="s">
        <v>93</v>
      </c>
    </row>
    <row r="38" spans="2:14" x14ac:dyDescent="0.25">
      <c r="G38" s="5">
        <v>0</v>
      </c>
      <c r="H38" s="5">
        <v>0</v>
      </c>
    </row>
    <row r="39" spans="2:14" x14ac:dyDescent="0.25">
      <c r="G39" s="5">
        <v>0</v>
      </c>
      <c r="H39" s="5">
        <v>1</v>
      </c>
    </row>
    <row r="40" spans="2:14" x14ac:dyDescent="0.25">
      <c r="C40" s="3" t="s">
        <v>128</v>
      </c>
      <c r="G40" s="5">
        <v>1</v>
      </c>
      <c r="H40" s="5">
        <v>0</v>
      </c>
      <c r="J40" s="3" t="s">
        <v>95</v>
      </c>
      <c r="M40" s="3" t="s">
        <v>96</v>
      </c>
    </row>
    <row r="41" spans="2:14" x14ac:dyDescent="0.25">
      <c r="B41" s="4" t="s">
        <v>63</v>
      </c>
      <c r="C41" s="11">
        <f>$G$35*'1 Task'!$F$10</f>
        <v>0</v>
      </c>
      <c r="D41" s="11">
        <f>$H$35*'1 Task'!$I$10</f>
        <v>1</v>
      </c>
      <c r="E41" s="11">
        <f>$I$35*'1 Task'!$F$10</f>
        <v>6</v>
      </c>
      <c r="G41" s="7">
        <f>C41*G38+D41*G39+E41*G40</f>
        <v>6</v>
      </c>
      <c r="H41" s="7">
        <f>C41*H38+D41*H39+E41*H40</f>
        <v>1</v>
      </c>
      <c r="J41" s="8">
        <f>'1 Task'!$F$10</f>
        <v>6</v>
      </c>
      <c r="K41" s="8">
        <f>'1 Task'!$I$10</f>
        <v>1</v>
      </c>
      <c r="M41" s="8">
        <f t="shared" ref="M41:N44" si="2">(G41-J41)^2</f>
        <v>0</v>
      </c>
      <c r="N41" s="8">
        <f t="shared" si="2"/>
        <v>0</v>
      </c>
    </row>
    <row r="42" spans="2:14" x14ac:dyDescent="0.25">
      <c r="B42" s="4" t="s">
        <v>64</v>
      </c>
      <c r="C42" s="11">
        <f>$G$35*'1 Task'!$F$11</f>
        <v>0</v>
      </c>
      <c r="D42" s="11">
        <f>$H$35*'1 Task'!$I$11</f>
        <v>6</v>
      </c>
      <c r="E42" s="11">
        <f>$I$35*'1 Task'!$F$11</f>
        <v>1</v>
      </c>
      <c r="G42" s="7">
        <f>C42*G38+D42*G39+E42*G40</f>
        <v>1</v>
      </c>
      <c r="H42" s="7">
        <f>C42*H38+D42*H39+E42*H40</f>
        <v>6</v>
      </c>
      <c r="J42" s="8">
        <f>'1 Task'!$F$11</f>
        <v>1</v>
      </c>
      <c r="K42" s="8">
        <f>'1 Task'!$I$11</f>
        <v>6</v>
      </c>
      <c r="M42" s="8">
        <f t="shared" si="2"/>
        <v>0</v>
      </c>
      <c r="N42" s="8">
        <f t="shared" si="2"/>
        <v>0</v>
      </c>
    </row>
    <row r="43" spans="2:14" x14ac:dyDescent="0.25">
      <c r="B43" s="4" t="s">
        <v>65</v>
      </c>
      <c r="C43" s="11">
        <f>$G$35*'1 Task'!$F$12</f>
        <v>0</v>
      </c>
      <c r="D43" s="11">
        <f>$H$35*'1 Task'!$I$12</f>
        <v>-3</v>
      </c>
      <c r="E43" s="11">
        <f>$I$35*'1 Task'!$F$12</f>
        <v>2</v>
      </c>
      <c r="G43" s="7">
        <f>C43*G38+D43*G39+E43*G40</f>
        <v>2</v>
      </c>
      <c r="H43" s="7">
        <f>C43*H38+D43*H39+E43*H40</f>
        <v>-3</v>
      </c>
      <c r="J43" s="8">
        <f>'1 Task'!$F$12</f>
        <v>2</v>
      </c>
      <c r="K43" s="8">
        <f>'1 Task'!$I$12</f>
        <v>-3</v>
      </c>
      <c r="M43" s="8">
        <f t="shared" si="2"/>
        <v>0</v>
      </c>
      <c r="N43" s="8">
        <f t="shared" si="2"/>
        <v>0</v>
      </c>
    </row>
    <row r="44" spans="2:14" x14ac:dyDescent="0.25">
      <c r="B44" s="4" t="s">
        <v>66</v>
      </c>
      <c r="C44" s="11">
        <f>$G$35*'1 Task'!$F$13</f>
        <v>0</v>
      </c>
      <c r="D44" s="11">
        <f>$H$35*'1 Task'!$I$13</f>
        <v>2</v>
      </c>
      <c r="E44" s="11">
        <f>$I$35*'1 Task'!$F$13</f>
        <v>-3</v>
      </c>
      <c r="G44" s="7">
        <f>C44*G38+D44*G39+E44*G40</f>
        <v>-3</v>
      </c>
      <c r="H44" s="7">
        <f>C44*H38+D44*H39+E44*H40</f>
        <v>2</v>
      </c>
      <c r="J44" s="8">
        <f>'1 Task'!$F$13</f>
        <v>-3</v>
      </c>
      <c r="K44" s="8">
        <f>'1 Task'!$I$13</f>
        <v>2</v>
      </c>
      <c r="M44" s="8">
        <f t="shared" si="2"/>
        <v>0</v>
      </c>
      <c r="N44" s="8">
        <f t="shared" si="2"/>
        <v>0</v>
      </c>
    </row>
    <row r="45" spans="2:14" x14ac:dyDescent="0.25">
      <c r="G45" s="3" t="s">
        <v>97</v>
      </c>
      <c r="M45" s="3" t="s">
        <v>129</v>
      </c>
      <c r="N45" s="7">
        <f>AVERAGE(M41:N44)</f>
        <v>0</v>
      </c>
    </row>
    <row r="48" spans="2:14" x14ac:dyDescent="0.25">
      <c r="B48" s="3" t="s">
        <v>132</v>
      </c>
    </row>
    <row r="49" spans="2:14" x14ac:dyDescent="0.25">
      <c r="C49" s="2" t="s">
        <v>127</v>
      </c>
      <c r="G49" s="9">
        <v>1</v>
      </c>
      <c r="H49" s="9">
        <v>0</v>
      </c>
      <c r="I49" s="9">
        <v>1</v>
      </c>
    </row>
    <row r="50" spans="2:14" x14ac:dyDescent="0.25">
      <c r="G50" s="3" t="s">
        <v>91</v>
      </c>
    </row>
    <row r="51" spans="2:14" x14ac:dyDescent="0.25">
      <c r="G51" s="4" t="s">
        <v>92</v>
      </c>
      <c r="H51" s="4" t="s">
        <v>93</v>
      </c>
    </row>
    <row r="52" spans="2:14" x14ac:dyDescent="0.25">
      <c r="G52" s="5">
        <v>0.5</v>
      </c>
      <c r="H52" s="5">
        <v>0</v>
      </c>
    </row>
    <row r="53" spans="2:14" x14ac:dyDescent="0.25">
      <c r="G53" s="5">
        <v>0</v>
      </c>
      <c r="H53" s="5">
        <v>0</v>
      </c>
    </row>
    <row r="54" spans="2:14" x14ac:dyDescent="0.25">
      <c r="C54" s="3" t="s">
        <v>128</v>
      </c>
      <c r="G54" s="5">
        <v>0.5</v>
      </c>
      <c r="H54" s="5">
        <v>0</v>
      </c>
      <c r="J54" s="3" t="s">
        <v>95</v>
      </c>
      <c r="M54" s="3" t="s">
        <v>96</v>
      </c>
    </row>
    <row r="55" spans="2:14" x14ac:dyDescent="0.25">
      <c r="B55" s="4" t="s">
        <v>63</v>
      </c>
      <c r="C55" s="11">
        <f>$G$49*'1 Task'!$F$10</f>
        <v>6</v>
      </c>
      <c r="D55" s="11">
        <f>$H$49*'1 Task'!$I$10</f>
        <v>0</v>
      </c>
      <c r="E55" s="11">
        <f>$I$49*'1 Task'!$F$10</f>
        <v>6</v>
      </c>
      <c r="G55" s="7">
        <f>C55*G52+D55*G53+E55*G54</f>
        <v>6</v>
      </c>
      <c r="H55" s="7">
        <f>C55*H52+D55*H53+E55*H54</f>
        <v>0</v>
      </c>
      <c r="J55" s="8">
        <f>'1 Task'!$F$10</f>
        <v>6</v>
      </c>
      <c r="K55" s="8">
        <f>'1 Task'!$I$10</f>
        <v>1</v>
      </c>
      <c r="M55" s="8">
        <f t="shared" ref="M55:N58" si="3">(G55-J55)^2</f>
        <v>0</v>
      </c>
      <c r="N55" s="8">
        <f t="shared" si="3"/>
        <v>1</v>
      </c>
    </row>
    <row r="56" spans="2:14" x14ac:dyDescent="0.25">
      <c r="B56" s="4" t="s">
        <v>64</v>
      </c>
      <c r="C56" s="11">
        <f>$G$49*'1 Task'!$F$11</f>
        <v>1</v>
      </c>
      <c r="D56" s="11">
        <f>$H$49*'1 Task'!$I$11</f>
        <v>0</v>
      </c>
      <c r="E56" s="11">
        <f>$I$49*'1 Task'!$F$11</f>
        <v>1</v>
      </c>
      <c r="G56" s="7">
        <f>C56*G52+D56*G53+E56*G54</f>
        <v>1</v>
      </c>
      <c r="H56" s="7">
        <f>C56*H52+D56*H53+E56*H54</f>
        <v>0</v>
      </c>
      <c r="J56" s="8">
        <f>'1 Task'!$F$11</f>
        <v>1</v>
      </c>
      <c r="K56" s="8">
        <f>'1 Task'!$I$11</f>
        <v>6</v>
      </c>
      <c r="M56" s="8">
        <f t="shared" si="3"/>
        <v>0</v>
      </c>
      <c r="N56" s="8">
        <f t="shared" si="3"/>
        <v>36</v>
      </c>
    </row>
    <row r="57" spans="2:14" x14ac:dyDescent="0.25">
      <c r="B57" s="4" t="s">
        <v>65</v>
      </c>
      <c r="C57" s="11">
        <f>$G$49*'1 Task'!$F$12</f>
        <v>2</v>
      </c>
      <c r="D57" s="11">
        <f>$H$49*'1 Task'!$I$12</f>
        <v>0</v>
      </c>
      <c r="E57" s="11">
        <f>$I$49*'1 Task'!$F$12</f>
        <v>2</v>
      </c>
      <c r="G57" s="7">
        <f>C57*G52+D57*G53+E57*G54</f>
        <v>2</v>
      </c>
      <c r="H57" s="7">
        <f>C57*H52+D57*H53+E57*H54</f>
        <v>0</v>
      </c>
      <c r="J57" s="8">
        <f>'1 Task'!$F$12</f>
        <v>2</v>
      </c>
      <c r="K57" s="8">
        <f>'1 Task'!$I$12</f>
        <v>-3</v>
      </c>
      <c r="M57" s="8">
        <f t="shared" si="3"/>
        <v>0</v>
      </c>
      <c r="N57" s="8">
        <f t="shared" si="3"/>
        <v>9</v>
      </c>
    </row>
    <row r="58" spans="2:14" x14ac:dyDescent="0.25">
      <c r="B58" s="4" t="s">
        <v>66</v>
      </c>
      <c r="C58" s="11">
        <f>$G$49*'1 Task'!$F$13</f>
        <v>-3</v>
      </c>
      <c r="D58" s="11">
        <f>$H$49*'1 Task'!$I$13</f>
        <v>0</v>
      </c>
      <c r="E58" s="11">
        <f>$I$49*'1 Task'!$F$13</f>
        <v>-3</v>
      </c>
      <c r="G58" s="7">
        <f>C58*G52+D58*G53+E58*G54</f>
        <v>-3</v>
      </c>
      <c r="H58" s="7">
        <f>C58*H52+D58*H53+E58*H54</f>
        <v>0</v>
      </c>
      <c r="J58" s="8">
        <f>'1 Task'!$F$13</f>
        <v>-3</v>
      </c>
      <c r="K58" s="8">
        <f>'1 Task'!$I$13</f>
        <v>2</v>
      </c>
      <c r="M58" s="8">
        <f t="shared" si="3"/>
        <v>0</v>
      </c>
      <c r="N58" s="8">
        <f t="shared" si="3"/>
        <v>4</v>
      </c>
    </row>
    <row r="59" spans="2:14" x14ac:dyDescent="0.25">
      <c r="G59" s="3" t="s">
        <v>97</v>
      </c>
      <c r="M59" s="3" t="s">
        <v>129</v>
      </c>
      <c r="N59" s="7">
        <f>AVERAGE(M55:N58)</f>
        <v>6.25</v>
      </c>
    </row>
    <row r="62" spans="2:14" x14ac:dyDescent="0.25">
      <c r="B62" s="10" t="s">
        <v>133</v>
      </c>
      <c r="K62" s="7">
        <f>SUMPRODUCT('1 Task'!$F$10:$F$13,'1 Task'!$I$10:$I$13)/SUMPRODUCT('1 Task'!$F$10:$F$13,'1 Task'!$F$10:$F$13)</f>
        <v>0</v>
      </c>
    </row>
    <row r="63" spans="2:14" x14ac:dyDescent="0.25">
      <c r="B63" s="10" t="s">
        <v>134</v>
      </c>
    </row>
    <row r="65" spans="2:8" x14ac:dyDescent="0.25">
      <c r="B65" s="3" t="s">
        <v>135</v>
      </c>
    </row>
    <row r="66" spans="2:8" x14ac:dyDescent="0.25">
      <c r="B66" s="3" t="s">
        <v>136</v>
      </c>
      <c r="D66" s="3" t="s">
        <v>137</v>
      </c>
      <c r="H66" s="3" t="s">
        <v>138</v>
      </c>
    </row>
    <row r="67" spans="2:8" x14ac:dyDescent="0.25">
      <c r="B67" s="2" t="s">
        <v>11</v>
      </c>
      <c r="D67" s="8">
        <f>$N$31-$N$17</f>
        <v>1.5625</v>
      </c>
      <c r="H67" s="7">
        <f>$N$45-$N$17</f>
        <v>0</v>
      </c>
    </row>
    <row r="68" spans="2:8" x14ac:dyDescent="0.25">
      <c r="B68" s="2" t="s">
        <v>8</v>
      </c>
      <c r="D68" s="8">
        <f>$N$59-$N$17</f>
        <v>6.25</v>
      </c>
      <c r="H68" s="7">
        <f>$N$59-$N$17</f>
        <v>6.25</v>
      </c>
    </row>
    <row r="69" spans="2:8" x14ac:dyDescent="0.25">
      <c r="B69" s="2" t="s">
        <v>139</v>
      </c>
      <c r="D69" s="8">
        <f>$N$31-$N$17</f>
        <v>1.5625</v>
      </c>
      <c r="H69" s="7">
        <f>$N$45-$N$17</f>
        <v>0</v>
      </c>
    </row>
    <row r="71" spans="2:8" x14ac:dyDescent="0.25">
      <c r="B71" s="2" t="s">
        <v>140</v>
      </c>
    </row>
    <row r="72" spans="2:8" x14ac:dyDescent="0.25">
      <c r="B72" s="2" t="s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4"/>
  <sheetViews>
    <sheetView showGridLines="0" workbookViewId="0"/>
  </sheetViews>
  <sheetFormatPr defaultRowHeight="15" x14ac:dyDescent="0.25"/>
  <cols>
    <col min="1" max="1" width="2.42578125" customWidth="1"/>
    <col min="2" max="39" width="12" customWidth="1"/>
  </cols>
  <sheetData>
    <row r="1" spans="2:5" ht="18" x14ac:dyDescent="0.25">
      <c r="B1" s="1" t="s">
        <v>142</v>
      </c>
    </row>
    <row r="2" spans="2:5" x14ac:dyDescent="0.25">
      <c r="B2" s="2" t="s">
        <v>143</v>
      </c>
    </row>
    <row r="3" spans="2:5" x14ac:dyDescent="0.25">
      <c r="B3" s="2" t="s">
        <v>144</v>
      </c>
    </row>
    <row r="5" spans="2:5" x14ac:dyDescent="0.25">
      <c r="B5" s="2" t="s">
        <v>145</v>
      </c>
      <c r="D5" s="9">
        <v>1</v>
      </c>
    </row>
    <row r="7" spans="2:5" x14ac:dyDescent="0.25">
      <c r="B7" s="3" t="s">
        <v>146</v>
      </c>
    </row>
    <row r="8" spans="2:5" x14ac:dyDescent="0.25">
      <c r="C8" s="3" t="s">
        <v>11</v>
      </c>
      <c r="D8" s="3" t="s">
        <v>8</v>
      </c>
      <c r="E8" s="3" t="s">
        <v>147</v>
      </c>
    </row>
    <row r="9" spans="2:5" x14ac:dyDescent="0.25">
      <c r="B9" s="2" t="s">
        <v>105</v>
      </c>
      <c r="C9" s="8">
        <f>'5 Collateral value'!$H$67</f>
        <v>0</v>
      </c>
      <c r="D9" s="8">
        <f>'5 Collateral value'!$H$68</f>
        <v>6.25</v>
      </c>
      <c r="E9" s="8">
        <f>'5 Collateral value'!$H$69</f>
        <v>0</v>
      </c>
    </row>
    <row r="10" spans="2:5" x14ac:dyDescent="0.25">
      <c r="B10" s="2" t="s">
        <v>148</v>
      </c>
      <c r="C10" s="8">
        <f>MIN(C9:E9)</f>
        <v>0</v>
      </c>
      <c r="D10" s="8" t="str">
        <f>INDEX(C8:E8,MATCH(C10,C9:E9,0))</f>
        <v>A</v>
      </c>
    </row>
    <row r="11" spans="2:5" x14ac:dyDescent="0.25">
      <c r="B11" s="2" t="s">
        <v>149</v>
      </c>
      <c r="C11" s="7" t="str">
        <f>IF(C10&lt;$D$5,"close "&amp;D10,"stop")</f>
        <v>close A</v>
      </c>
    </row>
    <row r="13" spans="2:5" x14ac:dyDescent="0.25">
      <c r="B13" s="3" t="s">
        <v>150</v>
      </c>
    </row>
    <row r="14" spans="2:5" x14ac:dyDescent="0.25">
      <c r="C14" s="3" t="s">
        <v>11</v>
      </c>
      <c r="D14" s="3" t="s">
        <v>8</v>
      </c>
      <c r="E14" s="3" t="s">
        <v>147</v>
      </c>
    </row>
    <row r="15" spans="2:5" x14ac:dyDescent="0.25">
      <c r="B15" s="2" t="s">
        <v>105</v>
      </c>
      <c r="C15" s="8" t="s">
        <v>151</v>
      </c>
      <c r="D15" s="8">
        <f>D9</f>
        <v>6.25</v>
      </c>
      <c r="E15" s="8">
        <f>SUMPRODUCT('1 Task'!$F$10:$F$13,'1 Task'!$F$10:$F$13)/8</f>
        <v>6.25</v>
      </c>
    </row>
    <row r="16" spans="2:5" x14ac:dyDescent="0.25">
      <c r="B16" s="2" t="s">
        <v>148</v>
      </c>
      <c r="C16" s="8">
        <f>MIN(D15:E15)</f>
        <v>6.25</v>
      </c>
      <c r="D16" s="8" t="str">
        <f>INDEX(D14:E14,MATCH(C16,D15:E15,0))</f>
        <v>B</v>
      </c>
    </row>
    <row r="17" spans="2:4" x14ac:dyDescent="0.25">
      <c r="B17" s="2" t="s">
        <v>149</v>
      </c>
      <c r="C17" s="7" t="str">
        <f>IF(C16&lt;$D$5,"close "&amp;D16,"stop")</f>
        <v>stop</v>
      </c>
      <c r="D17" s="10" t="s">
        <v>152</v>
      </c>
    </row>
    <row r="19" spans="2:4" x14ac:dyDescent="0.25">
      <c r="B19" s="10" t="s">
        <v>153</v>
      </c>
    </row>
    <row r="20" spans="2:4" x14ac:dyDescent="0.25">
      <c r="B20" s="2" t="s">
        <v>154</v>
      </c>
    </row>
    <row r="22" spans="2:4" x14ac:dyDescent="0.25">
      <c r="B22" s="2" t="s">
        <v>155</v>
      </c>
    </row>
    <row r="23" spans="2:4" x14ac:dyDescent="0.25">
      <c r="B23" s="2" t="s">
        <v>156</v>
      </c>
    </row>
    <row r="24" spans="2:4" x14ac:dyDescent="0.25">
      <c r="B24" s="2" t="s">
        <v>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40"/>
  <sheetViews>
    <sheetView showGridLines="0" workbookViewId="0"/>
  </sheetViews>
  <sheetFormatPr defaultRowHeight="15" x14ac:dyDescent="0.25"/>
  <cols>
    <col min="1" max="1" width="2.42578125" customWidth="1"/>
    <col min="2" max="39" width="12" customWidth="1"/>
  </cols>
  <sheetData>
    <row r="1" spans="2:8" ht="18" x14ac:dyDescent="0.25">
      <c r="B1" s="1" t="s">
        <v>158</v>
      </c>
    </row>
    <row r="2" spans="2:8" x14ac:dyDescent="0.25">
      <c r="B2" s="2" t="s">
        <v>159</v>
      </c>
    </row>
    <row r="3" spans="2:8" x14ac:dyDescent="0.25">
      <c r="B3" s="2" t="s">
        <v>160</v>
      </c>
    </row>
    <row r="4" spans="2:8" x14ac:dyDescent="0.25">
      <c r="C4" s="2" t="s">
        <v>161</v>
      </c>
    </row>
    <row r="6" spans="2:8" x14ac:dyDescent="0.25">
      <c r="B6" s="2" t="s">
        <v>162</v>
      </c>
      <c r="F6" s="9">
        <v>4</v>
      </c>
    </row>
    <row r="7" spans="2:8" x14ac:dyDescent="0.25">
      <c r="B7" s="2" t="s">
        <v>163</v>
      </c>
      <c r="F7" s="9">
        <v>0.1</v>
      </c>
    </row>
    <row r="8" spans="2:8" x14ac:dyDescent="0.25">
      <c r="B8" s="2" t="s">
        <v>164</v>
      </c>
      <c r="F8" s="9">
        <v>0.03</v>
      </c>
    </row>
    <row r="10" spans="2:8" x14ac:dyDescent="0.25">
      <c r="B10" s="3" t="s">
        <v>165</v>
      </c>
      <c r="D10" s="3" t="s">
        <v>166</v>
      </c>
      <c r="F10" s="3" t="s">
        <v>167</v>
      </c>
      <c r="H10" s="3" t="s">
        <v>168</v>
      </c>
    </row>
    <row r="11" spans="2:8" x14ac:dyDescent="0.25">
      <c r="B11" s="8">
        <v>1</v>
      </c>
      <c r="D11" s="17">
        <f t="shared" ref="D11:D22" si="0">IF(B11-1&lt;=$F$6-1,1,BINOMDIST($F$6-1,B11-1,1-$F$7,TRUE))</f>
        <v>1</v>
      </c>
      <c r="F11" s="18">
        <f t="shared" ref="F11:F22" si="1">(1-$F$7)/$F$6*D11</f>
        <v>0.22500000000000001</v>
      </c>
      <c r="H11" s="8" t="str">
        <f t="shared" ref="H11:H22" si="2">IF(F11&gt;=$F$8,"keep","drop")</f>
        <v>keep</v>
      </c>
    </row>
    <row r="12" spans="2:8" x14ac:dyDescent="0.25">
      <c r="B12" s="8">
        <v>2</v>
      </c>
      <c r="D12" s="17">
        <f t="shared" si="0"/>
        <v>1</v>
      </c>
      <c r="F12" s="18">
        <f t="shared" si="1"/>
        <v>0.22500000000000001</v>
      </c>
      <c r="H12" s="8" t="str">
        <f t="shared" si="2"/>
        <v>keep</v>
      </c>
    </row>
    <row r="13" spans="2:8" x14ac:dyDescent="0.25">
      <c r="B13" s="8">
        <v>3</v>
      </c>
      <c r="D13" s="17">
        <f t="shared" si="0"/>
        <v>1</v>
      </c>
      <c r="F13" s="18">
        <f t="shared" si="1"/>
        <v>0.22500000000000001</v>
      </c>
      <c r="H13" s="8" t="str">
        <f t="shared" si="2"/>
        <v>keep</v>
      </c>
    </row>
    <row r="14" spans="2:8" x14ac:dyDescent="0.25">
      <c r="B14" s="8">
        <v>4</v>
      </c>
      <c r="D14" s="17">
        <f t="shared" si="0"/>
        <v>1</v>
      </c>
      <c r="F14" s="18">
        <f t="shared" si="1"/>
        <v>0.22500000000000001</v>
      </c>
      <c r="H14" s="8" t="str">
        <f t="shared" si="2"/>
        <v>keep</v>
      </c>
    </row>
    <row r="15" spans="2:8" x14ac:dyDescent="0.25">
      <c r="B15" s="8">
        <v>5</v>
      </c>
      <c r="D15" s="17">
        <f t="shared" si="0"/>
        <v>0.34389999999999998</v>
      </c>
      <c r="F15" s="18">
        <f t="shared" si="1"/>
        <v>7.7377500000000002E-2</v>
      </c>
      <c r="H15" s="8" t="str">
        <f t="shared" si="2"/>
        <v>keep</v>
      </c>
    </row>
    <row r="16" spans="2:8" x14ac:dyDescent="0.25">
      <c r="B16" s="8">
        <v>6</v>
      </c>
      <c r="D16" s="17">
        <f t="shared" si="0"/>
        <v>8.1459999999999963E-2</v>
      </c>
      <c r="F16" s="18">
        <f t="shared" si="1"/>
        <v>1.8328499999999991E-2</v>
      </c>
      <c r="H16" s="8" t="str">
        <f t="shared" si="2"/>
        <v>drop</v>
      </c>
    </row>
    <row r="17" spans="2:8" x14ac:dyDescent="0.25">
      <c r="B17" s="8">
        <v>7</v>
      </c>
      <c r="D17" s="17">
        <f t="shared" si="0"/>
        <v>1.585E-2</v>
      </c>
      <c r="F17" s="18">
        <f t="shared" si="1"/>
        <v>3.56625E-3</v>
      </c>
      <c r="H17" s="8" t="str">
        <f t="shared" si="2"/>
        <v>drop</v>
      </c>
    </row>
    <row r="18" spans="2:8" x14ac:dyDescent="0.25">
      <c r="B18" s="8">
        <v>8</v>
      </c>
      <c r="D18" s="17">
        <f t="shared" si="0"/>
        <v>2.7279999999999965E-3</v>
      </c>
      <c r="F18" s="18">
        <f t="shared" si="1"/>
        <v>6.137999999999992E-4</v>
      </c>
      <c r="H18" s="8" t="str">
        <f t="shared" si="2"/>
        <v>drop</v>
      </c>
    </row>
    <row r="19" spans="2:8" x14ac:dyDescent="0.25">
      <c r="B19" s="8">
        <v>9</v>
      </c>
      <c r="D19" s="17">
        <f t="shared" si="0"/>
        <v>4.316500000000006E-4</v>
      </c>
      <c r="F19" s="18">
        <f t="shared" si="1"/>
        <v>9.7121250000000133E-5</v>
      </c>
      <c r="H19" s="8" t="str">
        <f t="shared" si="2"/>
        <v>drop</v>
      </c>
    </row>
    <row r="20" spans="2:8" x14ac:dyDescent="0.25">
      <c r="B20" s="8">
        <v>10</v>
      </c>
      <c r="D20" s="17">
        <f t="shared" si="0"/>
        <v>6.4234000000000104E-5</v>
      </c>
      <c r="F20" s="18">
        <f t="shared" si="1"/>
        <v>1.4452650000000023E-5</v>
      </c>
      <c r="H20" s="8" t="str">
        <f t="shared" si="2"/>
        <v>drop</v>
      </c>
    </row>
    <row r="21" spans="2:8" x14ac:dyDescent="0.25">
      <c r="B21" s="8">
        <v>11</v>
      </c>
      <c r="D21" s="17">
        <f t="shared" si="0"/>
        <v>9.1216000000000178E-6</v>
      </c>
      <c r="F21" s="18">
        <f t="shared" si="1"/>
        <v>2.052360000000004E-6</v>
      </c>
      <c r="H21" s="8" t="str">
        <f t="shared" si="2"/>
        <v>drop</v>
      </c>
    </row>
    <row r="22" spans="2:8" x14ac:dyDescent="0.25">
      <c r="B22" s="8">
        <v>12</v>
      </c>
      <c r="D22" s="17">
        <f t="shared" si="0"/>
        <v>1.2484000000000057E-6</v>
      </c>
      <c r="F22" s="18">
        <f t="shared" si="1"/>
        <v>2.8089000000000129E-7</v>
      </c>
      <c r="H22" s="8" t="str">
        <f t="shared" si="2"/>
        <v>drop</v>
      </c>
    </row>
    <row r="24" spans="2:8" x14ac:dyDescent="0.25">
      <c r="B24" s="3" t="s">
        <v>169</v>
      </c>
      <c r="F24" s="7">
        <f>COUNTIF(F11:F22,"&gt;="&amp;$F$8)</f>
        <v>5</v>
      </c>
    </row>
    <row r="26" spans="2:8" x14ac:dyDescent="0.25">
      <c r="B26" s="2" t="s">
        <v>170</v>
      </c>
    </row>
    <row r="27" spans="2:8" x14ac:dyDescent="0.25">
      <c r="B27" s="2" t="s">
        <v>171</v>
      </c>
    </row>
    <row r="29" spans="2:8" x14ac:dyDescent="0.25">
      <c r="B29" s="3" t="s">
        <v>172</v>
      </c>
    </row>
    <row r="30" spans="2:8" x14ac:dyDescent="0.25">
      <c r="B30" s="3" t="s">
        <v>173</v>
      </c>
      <c r="D30" s="3" t="s">
        <v>24</v>
      </c>
      <c r="F30" s="3" t="s">
        <v>174</v>
      </c>
    </row>
    <row r="31" spans="2:8" x14ac:dyDescent="0.25">
      <c r="B31" s="8">
        <v>2</v>
      </c>
      <c r="D31" s="8">
        <v>0.05</v>
      </c>
      <c r="F31" s="8" t="s">
        <v>175</v>
      </c>
    </row>
    <row r="32" spans="2:8" x14ac:dyDescent="0.25">
      <c r="B32" s="8">
        <v>2</v>
      </c>
      <c r="D32" s="8">
        <v>0.1</v>
      </c>
      <c r="F32" s="8" t="s">
        <v>175</v>
      </c>
    </row>
    <row r="33" spans="2:6" x14ac:dyDescent="0.25">
      <c r="B33" s="8">
        <v>2</v>
      </c>
      <c r="D33" s="8">
        <v>0.2</v>
      </c>
      <c r="F33" s="8" t="s">
        <v>176</v>
      </c>
    </row>
    <row r="34" spans="2:6" x14ac:dyDescent="0.25">
      <c r="B34" s="8">
        <v>2</v>
      </c>
      <c r="D34" s="8">
        <v>0.3</v>
      </c>
      <c r="F34" s="8" t="s">
        <v>177</v>
      </c>
    </row>
    <row r="35" spans="2:6" x14ac:dyDescent="0.25">
      <c r="B35" s="8">
        <v>4</v>
      </c>
      <c r="D35" s="8">
        <v>0.05</v>
      </c>
      <c r="F35" s="8" t="s">
        <v>178</v>
      </c>
    </row>
    <row r="36" spans="2:6" x14ac:dyDescent="0.25">
      <c r="B36" s="8">
        <v>4</v>
      </c>
      <c r="D36" s="8">
        <v>0.1</v>
      </c>
      <c r="F36" s="8" t="s">
        <v>179</v>
      </c>
    </row>
    <row r="37" spans="2:6" x14ac:dyDescent="0.25">
      <c r="B37" s="8">
        <v>4</v>
      </c>
      <c r="D37" s="8">
        <v>0.2</v>
      </c>
      <c r="F37" s="8" t="s">
        <v>180</v>
      </c>
    </row>
    <row r="38" spans="2:6" x14ac:dyDescent="0.25">
      <c r="B38" s="8">
        <v>4</v>
      </c>
      <c r="D38" s="8">
        <v>0.3</v>
      </c>
      <c r="F38" s="8" t="s">
        <v>181</v>
      </c>
    </row>
    <row r="40" spans="2:6" x14ac:dyDescent="0.25">
      <c r="B40" s="16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 Read me</vt:lpstr>
      <vt:lpstr>1 Task</vt:lpstr>
      <vt:lpstr>2 One head</vt:lpstr>
      <vt:lpstr>3 Two heads</vt:lpstr>
      <vt:lpstr>4 Why R heads</vt:lpstr>
      <vt:lpstr>5 Collateral value</vt:lpstr>
      <vt:lpstr>6 The rule</vt:lpstr>
      <vt:lpstr>7 Backup heads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Mason Kadem</cp:lastModifiedBy>
  <dcterms:created xsi:type="dcterms:W3CDTF">2026-10-04T14:05:45Z</dcterms:created>
  <dcterms:modified xsi:type="dcterms:W3CDTF">2026-10-04T14:05:58Z</dcterms:modified>
</cp:coreProperties>
</file>
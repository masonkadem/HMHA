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son\CODE2026\HMHA\notebooks\"/>
    </mc:Choice>
  </mc:AlternateContent>
  <xr:revisionPtr revIDLastSave="0" documentId="13_ncr:1_{5BAED533-0126-45D3-9ADF-BF97AA61F44D}" xr6:coauthVersionLast="47" xr6:coauthVersionMax="47" xr10:uidLastSave="{00000000-0000-0000-0000-000000000000}"/>
  <bookViews>
    <workbookView xWindow="480" yWindow="1230" windowWidth="27180" windowHeight="17610" xr2:uid="{00000000-000D-0000-FFFF-FFFF00000000}"/>
  </bookViews>
  <sheets>
    <sheet name="0 Read me" sheetId="1" r:id="rId1"/>
    <sheet name="1 Task" sheetId="2" r:id="rId2"/>
    <sheet name="2 One head" sheetId="3" r:id="rId3"/>
    <sheet name="3 Two heads" sheetId="4" r:id="rId4"/>
    <sheet name="4 Why R heads" sheetId="5" r:id="rId5"/>
    <sheet name="5 Collateral value" sheetId="6" r:id="rId6"/>
    <sheet name="6 The rule" sheetId="7" r:id="rId7"/>
    <sheet name="7 Backup head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8" l="1"/>
  <c r="F22" i="8" s="1"/>
  <c r="H22" i="8" s="1"/>
  <c r="D21" i="8"/>
  <c r="F21" i="8" s="1"/>
  <c r="H21" i="8" s="1"/>
  <c r="D20" i="8"/>
  <c r="F20" i="8" s="1"/>
  <c r="H20" i="8" s="1"/>
  <c r="D19" i="8"/>
  <c r="F19" i="8" s="1"/>
  <c r="H19" i="8" s="1"/>
  <c r="D18" i="8"/>
  <c r="F18" i="8" s="1"/>
  <c r="H18" i="8" s="1"/>
  <c r="D17" i="8"/>
  <c r="F17" i="8" s="1"/>
  <c r="H17" i="8" s="1"/>
  <c r="D16" i="8"/>
  <c r="F16" i="8" s="1"/>
  <c r="H16" i="8" s="1"/>
  <c r="D15" i="8"/>
  <c r="F15" i="8" s="1"/>
  <c r="H15" i="8" s="1"/>
  <c r="D14" i="8"/>
  <c r="F14" i="8" s="1"/>
  <c r="H14" i="8" s="1"/>
  <c r="D13" i="8"/>
  <c r="F13" i="8" s="1"/>
  <c r="H13" i="8" s="1"/>
  <c r="D12" i="8"/>
  <c r="F12" i="8" s="1"/>
  <c r="H12" i="8" s="1"/>
  <c r="D11" i="8"/>
  <c r="F11" i="8" s="1"/>
  <c r="F24" i="8" s="1"/>
  <c r="G28" i="5"/>
  <c r="G27" i="5"/>
  <c r="G26" i="5"/>
  <c r="G25" i="5"/>
  <c r="G14" i="5"/>
  <c r="K35" i="4"/>
  <c r="J35" i="4"/>
  <c r="I35" i="4"/>
  <c r="H35" i="4"/>
  <c r="K34" i="4"/>
  <c r="J34" i="4"/>
  <c r="J38" i="4" s="1"/>
  <c r="J47" i="4" s="1"/>
  <c r="I34" i="4"/>
  <c r="H34" i="4"/>
  <c r="K33" i="4"/>
  <c r="J33" i="4"/>
  <c r="I33" i="4"/>
  <c r="H33" i="4"/>
  <c r="K32" i="4"/>
  <c r="J32" i="4"/>
  <c r="I32" i="4"/>
  <c r="H32" i="4"/>
  <c r="L25" i="4"/>
  <c r="L26" i="4" s="1"/>
  <c r="F71" i="4" s="1"/>
  <c r="K25" i="4"/>
  <c r="K26" i="4" s="1"/>
  <c r="E71" i="4" s="1"/>
  <c r="J25" i="4"/>
  <c r="J26" i="4" s="1"/>
  <c r="D71" i="4" s="1"/>
  <c r="I25" i="4"/>
  <c r="I26" i="4" s="1"/>
  <c r="C71" i="4" s="1"/>
  <c r="L14" i="4"/>
  <c r="E52" i="4" s="1"/>
  <c r="K14" i="4"/>
  <c r="E51" i="4" s="1"/>
  <c r="J13" i="4"/>
  <c r="D50" i="4" s="1"/>
  <c r="L11" i="4"/>
  <c r="L15" i="4" s="1"/>
  <c r="F52" i="4" s="1"/>
  <c r="K11" i="4"/>
  <c r="K15" i="4" s="1"/>
  <c r="F51" i="4" s="1"/>
  <c r="J11" i="4"/>
  <c r="J15" i="4" s="1"/>
  <c r="F50" i="4" s="1"/>
  <c r="I11" i="4"/>
  <c r="I15" i="4" s="1"/>
  <c r="F49" i="4" s="1"/>
  <c r="K36" i="3"/>
  <c r="J36" i="3"/>
  <c r="I36" i="3"/>
  <c r="H36" i="3"/>
  <c r="K35" i="3"/>
  <c r="J35" i="3"/>
  <c r="I35" i="3"/>
  <c r="H35" i="3"/>
  <c r="K34" i="3"/>
  <c r="J34" i="3"/>
  <c r="I34" i="3"/>
  <c r="H34" i="3"/>
  <c r="K33" i="3"/>
  <c r="J33" i="3"/>
  <c r="I33" i="3"/>
  <c r="H33" i="3"/>
  <c r="I27" i="3"/>
  <c r="C72" i="3" s="1"/>
  <c r="L26" i="3"/>
  <c r="L27" i="3" s="1"/>
  <c r="F72" i="3" s="1"/>
  <c r="K26" i="3"/>
  <c r="K27" i="3" s="1"/>
  <c r="E72" i="3" s="1"/>
  <c r="J26" i="3"/>
  <c r="J27" i="3" s="1"/>
  <c r="D72" i="3" s="1"/>
  <c r="I26" i="3"/>
  <c r="I14" i="3"/>
  <c r="D50" i="3" s="1"/>
  <c r="K13" i="3"/>
  <c r="C52" i="3" s="1"/>
  <c r="L12" i="3"/>
  <c r="L13" i="3" s="1"/>
  <c r="C53" i="3" s="1"/>
  <c r="K12" i="3"/>
  <c r="K15" i="3" s="1"/>
  <c r="E52" i="3" s="1"/>
  <c r="J12" i="3"/>
  <c r="J15" i="3" s="1"/>
  <c r="E51" i="3" s="1"/>
  <c r="I12" i="3"/>
  <c r="I15" i="3" s="1"/>
  <c r="E50" i="3" s="1"/>
  <c r="G13" i="2"/>
  <c r="H13" i="2" s="1"/>
  <c r="I13" i="2" s="1"/>
  <c r="D13" i="2"/>
  <c r="E13" i="2" s="1"/>
  <c r="F13" i="2" s="1"/>
  <c r="G12" i="2"/>
  <c r="H12" i="2" s="1"/>
  <c r="I12" i="2" s="1"/>
  <c r="E12" i="2"/>
  <c r="F12" i="2" s="1"/>
  <c r="D12" i="2"/>
  <c r="H11" i="2"/>
  <c r="I11" i="2" s="1"/>
  <c r="G11" i="2"/>
  <c r="D11" i="2"/>
  <c r="E11" i="2" s="1"/>
  <c r="F11" i="2" s="1"/>
  <c r="G10" i="2"/>
  <c r="H10" i="2" s="1"/>
  <c r="I10" i="2" s="1"/>
  <c r="D10" i="2"/>
  <c r="E10" i="2" s="1"/>
  <c r="F10" i="2" s="1"/>
  <c r="G18" i="1"/>
  <c r="F18" i="1"/>
  <c r="G17" i="1"/>
  <c r="F17" i="1"/>
  <c r="J37" i="3" l="1"/>
  <c r="J46" i="3" s="1"/>
  <c r="I39" i="4"/>
  <c r="I48" i="4" s="1"/>
  <c r="J39" i="4"/>
  <c r="J48" i="4" s="1"/>
  <c r="H38" i="3"/>
  <c r="H47" i="3" s="1"/>
  <c r="I12" i="4"/>
  <c r="C49" i="4" s="1"/>
  <c r="H37" i="3"/>
  <c r="H46" i="3" s="1"/>
  <c r="I40" i="3"/>
  <c r="I49" i="3" s="1"/>
  <c r="J12" i="4"/>
  <c r="C50" i="4" s="1"/>
  <c r="H37" i="4"/>
  <c r="H46" i="4" s="1"/>
  <c r="H36" i="4"/>
  <c r="H45" i="4" s="1"/>
  <c r="I37" i="3"/>
  <c r="I46" i="3" s="1"/>
  <c r="K37" i="3"/>
  <c r="K46" i="3" s="1"/>
  <c r="J13" i="3"/>
  <c r="C51" i="3" s="1"/>
  <c r="I51" i="3" s="1"/>
  <c r="J40" i="3"/>
  <c r="J49" i="3" s="1"/>
  <c r="K12" i="4"/>
  <c r="C51" i="4" s="1"/>
  <c r="H51" i="4" s="1"/>
  <c r="I37" i="4"/>
  <c r="I46" i="4" s="1"/>
  <c r="I51" i="4" s="1"/>
  <c r="K40" i="3"/>
  <c r="K49" i="3" s="1"/>
  <c r="L12" i="4"/>
  <c r="C52" i="4" s="1"/>
  <c r="J37" i="4"/>
  <c r="J46" i="4" s="1"/>
  <c r="K36" i="4"/>
  <c r="K45" i="4" s="1"/>
  <c r="I39" i="3"/>
  <c r="I48" i="3" s="1"/>
  <c r="K13" i="4"/>
  <c r="D51" i="4" s="1"/>
  <c r="I16" i="3"/>
  <c r="F50" i="3" s="1"/>
  <c r="L13" i="4"/>
  <c r="D52" i="4" s="1"/>
  <c r="I14" i="4"/>
  <c r="E49" i="4" s="1"/>
  <c r="H40" i="3"/>
  <c r="H49" i="3" s="1"/>
  <c r="J14" i="4"/>
  <c r="E50" i="4" s="1"/>
  <c r="I12" i="6"/>
  <c r="I69" i="6"/>
  <c r="I29" i="6"/>
  <c r="I67" i="6"/>
  <c r="I16" i="6"/>
  <c r="H85" i="4"/>
  <c r="J73" i="3"/>
  <c r="I73" i="6"/>
  <c r="I50" i="6"/>
  <c r="I10" i="6"/>
  <c r="I54" i="6"/>
  <c r="I31" i="6"/>
  <c r="I48" i="6"/>
  <c r="I35" i="6"/>
  <c r="J69" i="6"/>
  <c r="J16" i="6"/>
  <c r="J54" i="6"/>
  <c r="J29" i="6"/>
  <c r="K73" i="3"/>
  <c r="J73" i="6"/>
  <c r="J50" i="6"/>
  <c r="J10" i="6"/>
  <c r="J67" i="6"/>
  <c r="J31" i="6"/>
  <c r="J48" i="6"/>
  <c r="J35" i="6"/>
  <c r="J12" i="6"/>
  <c r="I85" i="4"/>
  <c r="I17" i="6"/>
  <c r="H86" i="4"/>
  <c r="I74" i="6"/>
  <c r="I11" i="6"/>
  <c r="I68" i="6"/>
  <c r="J72" i="4"/>
  <c r="I49" i="6"/>
  <c r="I36" i="6"/>
  <c r="I30" i="6"/>
  <c r="I55" i="6"/>
  <c r="J74" i="6"/>
  <c r="J11" i="6"/>
  <c r="J68" i="6"/>
  <c r="J49" i="6"/>
  <c r="J55" i="6"/>
  <c r="K72" i="4"/>
  <c r="J36" i="6"/>
  <c r="J30" i="6"/>
  <c r="J17" i="6"/>
  <c r="I86" i="4"/>
  <c r="G48" i="6"/>
  <c r="K82" i="6"/>
  <c r="G35" i="6"/>
  <c r="G12" i="6"/>
  <c r="G69" i="6"/>
  <c r="G29" i="6"/>
  <c r="F7" i="5"/>
  <c r="G73" i="6"/>
  <c r="E15" i="7"/>
  <c r="G50" i="6"/>
  <c r="G10" i="6"/>
  <c r="G67" i="6"/>
  <c r="H73" i="3"/>
  <c r="G54" i="6"/>
  <c r="G31" i="6"/>
  <c r="G16" i="6"/>
  <c r="F85" i="4"/>
  <c r="H52" i="4"/>
  <c r="H35" i="6"/>
  <c r="H12" i="6"/>
  <c r="H69" i="6"/>
  <c r="H29" i="6"/>
  <c r="H73" i="6"/>
  <c r="H16" i="6"/>
  <c r="G85" i="4"/>
  <c r="I73" i="3"/>
  <c r="H50" i="6"/>
  <c r="H10" i="6"/>
  <c r="H67" i="6"/>
  <c r="H54" i="6"/>
  <c r="H31" i="6"/>
  <c r="H48" i="6"/>
  <c r="H30" i="6"/>
  <c r="H17" i="6"/>
  <c r="G86" i="4"/>
  <c r="H68" i="6"/>
  <c r="H74" i="6"/>
  <c r="H11" i="6"/>
  <c r="H55" i="6"/>
  <c r="H49" i="6"/>
  <c r="I72" i="4"/>
  <c r="H36" i="6"/>
  <c r="G74" i="6"/>
  <c r="G30" i="6"/>
  <c r="G11" i="6"/>
  <c r="G17" i="6"/>
  <c r="F86" i="4"/>
  <c r="F8" i="5"/>
  <c r="G68" i="6"/>
  <c r="G55" i="6"/>
  <c r="H72" i="4"/>
  <c r="G49" i="6"/>
  <c r="G36" i="6"/>
  <c r="L14" i="3"/>
  <c r="D53" i="3" s="1"/>
  <c r="L15" i="3"/>
  <c r="E53" i="3" s="1"/>
  <c r="K37" i="4"/>
  <c r="K46" i="4" s="1"/>
  <c r="H38" i="4"/>
  <c r="H47" i="4" s="1"/>
  <c r="J16" i="3"/>
  <c r="F51" i="3" s="1"/>
  <c r="I38" i="3"/>
  <c r="I47" i="3" s="1"/>
  <c r="I38" i="4"/>
  <c r="I47" i="4" s="1"/>
  <c r="K16" i="3"/>
  <c r="F52" i="3" s="1"/>
  <c r="J38" i="3"/>
  <c r="J47" i="3" s="1"/>
  <c r="L16" i="3"/>
  <c r="F53" i="3" s="1"/>
  <c r="K38" i="3"/>
  <c r="K47" i="3" s="1"/>
  <c r="K51" i="3" s="1"/>
  <c r="K38" i="4"/>
  <c r="K47" i="4" s="1"/>
  <c r="I13" i="3"/>
  <c r="C50" i="3" s="1"/>
  <c r="H39" i="3"/>
  <c r="H48" i="3" s="1"/>
  <c r="I13" i="4"/>
  <c r="D49" i="4" s="1"/>
  <c r="H39" i="4"/>
  <c r="H48" i="4" s="1"/>
  <c r="J39" i="3"/>
  <c r="J48" i="3" s="1"/>
  <c r="K39" i="3"/>
  <c r="K48" i="3" s="1"/>
  <c r="K39" i="4"/>
  <c r="K48" i="4" s="1"/>
  <c r="J14" i="3"/>
  <c r="D51" i="3" s="1"/>
  <c r="I36" i="4"/>
  <c r="I45" i="4" s="1"/>
  <c r="J36" i="4"/>
  <c r="J45" i="4" s="1"/>
  <c r="J50" i="4" s="1"/>
  <c r="H11" i="8"/>
  <c r="K14" i="3"/>
  <c r="D52" i="3" s="1"/>
  <c r="J51" i="3" l="1"/>
  <c r="I50" i="4"/>
  <c r="H50" i="4"/>
  <c r="K52" i="3"/>
  <c r="J51" i="4"/>
  <c r="K49" i="4"/>
  <c r="H51" i="3"/>
  <c r="K53" i="3"/>
  <c r="K51" i="4"/>
  <c r="I52" i="4"/>
  <c r="G60" i="4"/>
  <c r="K69" i="4" s="1"/>
  <c r="K50" i="3"/>
  <c r="G59" i="3" s="1"/>
  <c r="J50" i="3"/>
  <c r="I50" i="3"/>
  <c r="E60" i="3" s="1"/>
  <c r="I69" i="3" s="1"/>
  <c r="H50" i="3"/>
  <c r="I51" i="6"/>
  <c r="I57" i="6" s="1"/>
  <c r="I52" i="6"/>
  <c r="I58" i="6" s="1"/>
  <c r="H53" i="3"/>
  <c r="I14" i="6"/>
  <c r="I20" i="6" s="1"/>
  <c r="I13" i="6"/>
  <c r="I19" i="6" s="1"/>
  <c r="I53" i="3"/>
  <c r="H49" i="4"/>
  <c r="D58" i="4" s="1"/>
  <c r="H51" i="6"/>
  <c r="H57" i="6" s="1"/>
  <c r="H52" i="6"/>
  <c r="H58" i="6" s="1"/>
  <c r="J51" i="6"/>
  <c r="J57" i="6" s="1"/>
  <c r="J52" i="6"/>
  <c r="J58" i="6" s="1"/>
  <c r="J52" i="4"/>
  <c r="F61" i="4" s="1"/>
  <c r="J70" i="4" s="1"/>
  <c r="F9" i="5"/>
  <c r="F10" i="5"/>
  <c r="G16" i="5" s="1"/>
  <c r="J53" i="3"/>
  <c r="F60" i="4"/>
  <c r="J69" i="4" s="1"/>
  <c r="I49" i="4"/>
  <c r="E58" i="4" s="1"/>
  <c r="H71" i="6"/>
  <c r="H77" i="6" s="1"/>
  <c r="H70" i="6"/>
  <c r="H76" i="6" s="1"/>
  <c r="J14" i="6"/>
  <c r="J20" i="6" s="1"/>
  <c r="J13" i="6"/>
  <c r="J19" i="6" s="1"/>
  <c r="K50" i="4"/>
  <c r="K52" i="4"/>
  <c r="J71" i="6"/>
  <c r="J77" i="6" s="1"/>
  <c r="J70" i="6"/>
  <c r="J76" i="6" s="1"/>
  <c r="H52" i="3"/>
  <c r="I71" i="6"/>
  <c r="I77" i="6" s="1"/>
  <c r="I70" i="6"/>
  <c r="I76" i="6" s="1"/>
  <c r="G14" i="6"/>
  <c r="G20" i="6" s="1"/>
  <c r="G13" i="6"/>
  <c r="G19" i="6" s="1"/>
  <c r="H33" i="6"/>
  <c r="H39" i="6" s="1"/>
  <c r="H32" i="6"/>
  <c r="H38" i="6" s="1"/>
  <c r="F59" i="4"/>
  <c r="J68" i="4" s="1"/>
  <c r="H14" i="6"/>
  <c r="H20" i="6" s="1"/>
  <c r="H13" i="6"/>
  <c r="H19" i="6" s="1"/>
  <c r="J52" i="3"/>
  <c r="I32" i="6"/>
  <c r="I38" i="6" s="1"/>
  <c r="I33" i="6"/>
  <c r="I39" i="6" s="1"/>
  <c r="G33" i="6"/>
  <c r="G39" i="6" s="1"/>
  <c r="G32" i="6"/>
  <c r="G38" i="6" s="1"/>
  <c r="D60" i="4"/>
  <c r="H69" i="4" s="1"/>
  <c r="D61" i="4"/>
  <c r="H70" i="4" s="1"/>
  <c r="I52" i="3"/>
  <c r="J33" i="6"/>
  <c r="J39" i="6" s="1"/>
  <c r="J32" i="6"/>
  <c r="J38" i="6" s="1"/>
  <c r="G52" i="6"/>
  <c r="G58" i="6" s="1"/>
  <c r="G51" i="6"/>
  <c r="G57" i="6" s="1"/>
  <c r="G60" i="6" s="1"/>
  <c r="G71" i="6"/>
  <c r="G77" i="6" s="1"/>
  <c r="G70" i="6"/>
  <c r="G76" i="6" s="1"/>
  <c r="J49" i="4"/>
  <c r="E60" i="4" l="1"/>
  <c r="I69" i="4" s="1"/>
  <c r="F62" i="3"/>
  <c r="J71" i="3" s="1"/>
  <c r="E62" i="3"/>
  <c r="I71" i="3" s="1"/>
  <c r="G61" i="4"/>
  <c r="K70" i="4" s="1"/>
  <c r="D62" i="3"/>
  <c r="H71" i="3" s="1"/>
  <c r="I67" i="4"/>
  <c r="E61" i="3"/>
  <c r="I70" i="3" s="1"/>
  <c r="K68" i="3"/>
  <c r="D59" i="3"/>
  <c r="G22" i="6"/>
  <c r="H87" i="6" s="1"/>
  <c r="C9" i="7" s="1"/>
  <c r="G41" i="6"/>
  <c r="G58" i="4"/>
  <c r="E59" i="4"/>
  <c r="I68" i="4" s="1"/>
  <c r="E59" i="3"/>
  <c r="G15" i="5"/>
  <c r="D61" i="3"/>
  <c r="H70" i="3" s="1"/>
  <c r="G60" i="3"/>
  <c r="K69" i="3" s="1"/>
  <c r="G61" i="3"/>
  <c r="K70" i="3" s="1"/>
  <c r="F59" i="3"/>
  <c r="E61" i="4"/>
  <c r="I70" i="4" s="1"/>
  <c r="G62" i="3"/>
  <c r="K71" i="3" s="1"/>
  <c r="F58" i="4"/>
  <c r="G59" i="4"/>
  <c r="K68" i="4" s="1"/>
  <c r="D59" i="4"/>
  <c r="H68" i="4" s="1"/>
  <c r="G79" i="6"/>
  <c r="F61" i="3"/>
  <c r="J70" i="3" s="1"/>
  <c r="F60" i="3"/>
  <c r="J69" i="3" s="1"/>
  <c r="H67" i="4"/>
  <c r="D60" i="3"/>
  <c r="H69" i="3" s="1"/>
  <c r="F63" i="3" l="1"/>
  <c r="J68" i="3"/>
  <c r="J72" i="3" s="1"/>
  <c r="H80" i="4" s="1"/>
  <c r="D88" i="6"/>
  <c r="H88" i="6"/>
  <c r="D9" i="7" s="1"/>
  <c r="D15" i="7" s="1"/>
  <c r="C16" i="7" s="1"/>
  <c r="D62" i="4"/>
  <c r="E63" i="3"/>
  <c r="I68" i="3"/>
  <c r="I72" i="3" s="1"/>
  <c r="G80" i="4" s="1"/>
  <c r="D63" i="3"/>
  <c r="H68" i="3"/>
  <c r="H72" i="3" s="1"/>
  <c r="F80" i="4" s="1"/>
  <c r="H89" i="6"/>
  <c r="E9" i="7" s="1"/>
  <c r="H71" i="4"/>
  <c r="F81" i="4" s="1"/>
  <c r="G62" i="4"/>
  <c r="K67" i="4"/>
  <c r="K71" i="4" s="1"/>
  <c r="I81" i="4" s="1"/>
  <c r="D89" i="6"/>
  <c r="D87" i="6"/>
  <c r="J67" i="4"/>
  <c r="J71" i="4" s="1"/>
  <c r="H81" i="4" s="1"/>
  <c r="F62" i="4"/>
  <c r="G63" i="3"/>
  <c r="K72" i="3"/>
  <c r="I80" i="4" s="1"/>
  <c r="E62" i="4"/>
  <c r="I71" i="4"/>
  <c r="G81" i="4" s="1"/>
  <c r="F83" i="4" l="1"/>
  <c r="F89" i="4" s="1"/>
  <c r="F82" i="4"/>
  <c r="F88" i="4" s="1"/>
  <c r="G82" i="4"/>
  <c r="G88" i="4" s="1"/>
  <c r="G83" i="4"/>
  <c r="G89" i="4" s="1"/>
  <c r="D16" i="7"/>
  <c r="C17" i="7"/>
  <c r="I83" i="4"/>
  <c r="I89" i="4" s="1"/>
  <c r="I82" i="4"/>
  <c r="I88" i="4" s="1"/>
  <c r="H83" i="4"/>
  <c r="H89" i="4" s="1"/>
  <c r="H82" i="4"/>
  <c r="H88" i="4" s="1"/>
  <c r="C10" i="7"/>
  <c r="D10" i="7" l="1"/>
  <c r="C11" i="7" s="1"/>
  <c r="F91" i="4"/>
</calcChain>
</file>

<file path=xl/sharedStrings.xml><?xml version="1.0" encoding="utf-8"?>
<sst xmlns="http://schemas.openxmlformats.org/spreadsheetml/2006/main" count="763" uniqueCount="499">
  <si>
    <t>Hemodynamic attenuation by hand: the whole project on a tiny task</t>
  </si>
  <si>
    <t>Each sheet is one step. Work through them in order: 1 Task, 2 One head, 3 Two heads, 4 Why R heads,</t>
  </si>
  <si>
    <t>5 Collateral value, 6 The rule, 7 Backup heads.</t>
  </si>
  <si>
    <t>Sizes: this tiny task vs the real experiments</t>
  </si>
  <si>
    <t>Colours:  yellow = an input you may change (blue numbers)   blue = left matrix (the WEIGHTS)</t>
  </si>
  <si>
    <t>object</t>
  </si>
  <si>
    <t>tiny (this sheet)</t>
  </si>
  <si>
    <t>real experiments</t>
  </si>
  <si>
    <t>note</t>
  </si>
  <si>
    <t xml:space="preserve">          orange = top matrix (the DATA)   green = the result (a formula)   grey = other computed cells</t>
  </si>
  <si>
    <t>memory slots N</t>
  </si>
  <si>
    <t>4</t>
  </si>
  <si>
    <t>16</t>
  </si>
  <si>
    <t>distances R (= heads needed)</t>
  </si>
  <si>
    <t>2: (1, 3)</t>
  </si>
  <si>
    <t>4: (1, 5, 9, 13)</t>
  </si>
  <si>
    <t>How to read an L-shape. To compute W times X: the WEIGHTS W go on the LEFT, the DATA X go on TOP, and the</t>
  </si>
  <si>
    <t>numbers per item m</t>
  </si>
  <si>
    <t>1</t>
  </si>
  <si>
    <t>result sits in between: to the right of W and below X. Each green cell sits in W's row and X's column:</t>
  </si>
  <si>
    <t>vector length d_model</t>
  </si>
  <si>
    <t>5</t>
  </si>
  <si>
    <t>128</t>
  </si>
  <si>
    <t>tiny: 4 label + 1 item; real: 16 label + 16 item + noise</t>
  </si>
  <si>
    <t>multiply them entry by entry and add. Click any green cell to see the formula: it is your hand calculation.</t>
  </si>
  <si>
    <t>heads H</t>
  </si>
  <si>
    <t>2 or 3</t>
  </si>
  <si>
    <t>32</t>
  </si>
  <si>
    <t>Every sheet uses this layout. The data always has one COLUMN per item (per memory slot, or per query).</t>
  </si>
  <si>
    <t>head size d_k</t>
  </si>
  <si>
    <t>4 (1 for values)</t>
  </si>
  <si>
    <t>the real code uses the same d_k for queries, keys and values</t>
  </si>
  <si>
    <t>X (data)</t>
  </si>
  <si>
    <t>answer length R x m</t>
  </si>
  <si>
    <t>2</t>
  </si>
  <si>
    <t>64</t>
  </si>
  <si>
    <t>col 1</t>
  </si>
  <si>
    <t>col 2</t>
  </si>
  <si>
    <t>training steps</t>
  </si>
  <si>
    <t>-</t>
  </si>
  <si>
    <t>4000</t>
  </si>
  <si>
    <t>Adam, learning rate 0.002, batch 128</t>
  </si>
  <si>
    <t>W (weights)</t>
  </si>
  <si>
    <t>row 1</t>
  </si>
  <si>
    <t>row 2</t>
  </si>
  <si>
    <t>W X</t>
  </si>
  <si>
    <t>By hand: W row 1 times X column 1 = 1*5 + 2*7 = 19.   W row 2 times X column 2 = 3*6 + 4*8 = 50.</t>
  </si>
  <si>
    <t>The tiny task: 4 memory slots, 2 distances (1 and 3), one number per item. The real experiments use</t>
  </si>
  <si>
    <t>16 slots, 4 distances (1, 5, 9, 13), 16 numbers per item and 32 heads: same steps, bigger matrices.</t>
  </si>
  <si>
    <t>Step 1. The task</t>
  </si>
  <si>
    <t>A memory of 4 slots holds one item each. A query names a position p and must return the items</t>
  </si>
  <si>
    <t>1 and 3 slots ahead, counting round like a clock (mod 4). Change the yellow cells and watch the targets.</t>
  </si>
  <si>
    <t>slot j</t>
  </si>
  <si>
    <t>item c_j</t>
  </si>
  <si>
    <t>query tokens per example</t>
  </si>
  <si>
    <t>one per position p</t>
  </si>
  <si>
    <t>X (queries)</t>
  </si>
  <si>
    <t>(4, 4)</t>
  </si>
  <si>
    <t>(B, 16, 128)</t>
  </si>
  <si>
    <t>B = examples per batch (128 in training, 512 per probe, 1024 for validation)</t>
  </si>
  <si>
    <t>query i</t>
  </si>
  <si>
    <t>p</t>
  </si>
  <si>
    <t>p + 1</t>
  </si>
  <si>
    <t>(p+1) mod 4</t>
  </si>
  <si>
    <t>target 1</t>
  </si>
  <si>
    <t>p + 3</t>
  </si>
  <si>
    <t>(p+3) mod 4</t>
  </si>
  <si>
    <t>target 2</t>
  </si>
  <si>
    <t>Y (memory)</t>
  </si>
  <si>
    <t>(4, 5)</t>
  </si>
  <si>
    <t>row j = [one-hot of j | item | noise]</t>
  </si>
  <si>
    <t>1 number</t>
  </si>
  <si>
    <t>16 numbers</t>
  </si>
  <si>
    <t>content = torch.randn(B, N, m)</t>
  </si>
  <si>
    <t>T (targets)</t>
  </si>
  <si>
    <t>(4, 2)</t>
  </si>
  <si>
    <t>(B, 16, 64)</t>
  </si>
  <si>
    <t>R items of 16 numbers, side by side</t>
  </si>
  <si>
    <t>offsets</t>
  </si>
  <si>
    <t>(1, 3)</t>
  </si>
  <si>
    <t>(1, 5, 9, 13)</t>
  </si>
  <si>
    <t>1 + r * N / R for r = 0 .. R-1</t>
  </si>
  <si>
    <t>target 1 = the item in slot (p+1) mod 4;  target 2 = the item in slot (p+3) mod 4.</t>
  </si>
  <si>
    <t>By hand: query 0 has p = 2. (2+1) mod 4 = 3, so target 1 = c_3 = 6. (2+3) mod 4 = 1, so target 2 = c_1 = 1.</t>
  </si>
  <si>
    <t>The code: src/hemo/tasks.py</t>
  </si>
  <si>
    <t>Why mod: without it p = 2 would need slot 5, which does not exist. Wrapping round gives every query</t>
  </si>
  <si>
    <t>def offsets_for(cfg):</t>
  </si>
  <si>
    <t>both answers inside the memory, and 'look 1 ahead' is the same rule at every position.</t>
  </si>
  <si>
    <t xml:space="preserve">    return [(1 + r * max(1, cfg.seq_len // cfg.n_rel)) % cfg.seq_len for r in range(cfg.n_rel)]</t>
  </si>
  <si>
    <t>As matrices (used on the next sheets): memory column j = [one-hot of j ; c_j], query column i = one-hot of p_i,</t>
  </si>
  <si>
    <t>elif cfg.task == "multi_relation":</t>
  </si>
  <si>
    <t>target column i = [c_(p+1) ; c_(p+3)]. The real code adds a little noise to every vector.</t>
  </si>
  <si>
    <t xml:space="preserve">    m = cfg.m_content</t>
  </si>
  <si>
    <t xml:space="preserve">    assert d &gt;= N + m, "d_model must hold the position block plus the content block"</t>
  </si>
  <si>
    <t>What are 'memory' and 'slots'? Yes, the memory is just a list: [2, 1, -3, 6]. A slot is a position</t>
  </si>
  <si>
    <t xml:space="preserve">    X = torch.randn(B, N, d, device=dev, **kw) * 0.1</t>
  </si>
  <si>
    <t>in that list (0, 1, 2, 3), like an index. In plain Python the whole task is:</t>
  </si>
  <si>
    <t xml:space="preserve">    Y = torch.randn(B, N, d, device=dev, **kw) * 0.1</t>
  </si>
  <si>
    <t>memory = [2, 1, -3, 6];   answer(p) = (memory[(p + 1) % 4], memory[(p + 3) % 4])</t>
  </si>
  <si>
    <t xml:space="preserve">    Y[:, :, :N] = torch.eye(N, device=dev)</t>
  </si>
  <si>
    <t>So why the one-hot labels? Attention cannot see list positions: it compares the query with every row and</t>
  </si>
  <si>
    <t xml:space="preserve">    content = torch.randn(B, N, m, device=dev, **kw)</t>
  </si>
  <si>
    <t>treats the rows like an unordered pile. So each memory row carries its own position as a code next to its</t>
  </si>
  <si>
    <t xml:space="preserve">    Y[:, :, N:N + m] = content</t>
  </si>
  <si>
    <t>item (slot 2 = [0, 0, 1, 0 ; -3], one column), the query carries a code for p, and the head learns to match codes.</t>
  </si>
  <si>
    <t xml:space="preserve">    p = torch.randint(0, N, (B, N), device=dev, **kw)</t>
  </si>
  <si>
    <t>The items change every example, so the model cannot memorise them; it can only learn WHERE to look.</t>
  </si>
  <si>
    <t xml:space="preserve">    X[:, :, :N] = F.one_hot(p, N).float()</t>
  </si>
  <si>
    <t xml:space="preserve">    blocks = []</t>
  </si>
  <si>
    <t xml:space="preserve">    for off in offsets_for(cfg):</t>
  </si>
  <si>
    <t xml:space="preserve">        j = (p + off) % N</t>
  </si>
  <si>
    <t xml:space="preserve">        blocks.append(torch.gather(content, 1, j.unsqueeze(-1).expand(-1, -1, m)))</t>
  </si>
  <si>
    <t xml:space="preserve">    T = torch.cat(blocks, dim=-1)</t>
  </si>
  <si>
    <t>Step 2. One attention head, built by hand (it looks 1 slot ahead)</t>
  </si>
  <si>
    <t>Follow (a) to (f). Weights always on the left, data on top. The head scores every slot, turns the scores</t>
  </si>
  <si>
    <t>into weights that add up to 1, and returns the weighted average of the items. Try: change W_Q, or set sharpness to 1.</t>
  </si>
  <si>
    <t>(a) Keys: K = W_K Y. Weights on the left, memory on top (one column per slot). W_K keeps each slot's label and ignores its item, so key j = one-hot of j.</t>
  </si>
  <si>
    <t>Y (memory: one column per slot)</t>
  </si>
  <si>
    <t>slot 0</t>
  </si>
  <si>
    <t>slot 1</t>
  </si>
  <si>
    <t>slot 2</t>
  </si>
  <si>
    <t>slot 3</t>
  </si>
  <si>
    <t>W_Q, one head</t>
  </si>
  <si>
    <t>(32, 128)</t>
  </si>
  <si>
    <t>all 32 heads stored together as W_q: 128 -&gt; 1024</t>
  </si>
  <si>
    <t>W_K, one head</t>
  </si>
  <si>
    <t>W_k: 128 -&gt; 1024</t>
  </si>
  <si>
    <t>W_V, one head</t>
  </si>
  <si>
    <t>(1, 5)</t>
  </si>
  <si>
    <t>W_v: 128 -&gt; 1024</t>
  </si>
  <si>
    <t>(5, 4): a column per slot</t>
  </si>
  <si>
    <t>(128, 16) per example</t>
  </si>
  <si>
    <t>the code keeps the same numbers turned on their side (one ROW per token)</t>
  </si>
  <si>
    <t>(4, 4): a column per query</t>
  </si>
  <si>
    <t>W_K (weights)</t>
  </si>
  <si>
    <t>K = W_K Y</t>
  </si>
  <si>
    <t>(32, 16) per head</t>
  </si>
  <si>
    <t>in the code: (B, 32 heads, 16, 32)</t>
  </si>
  <si>
    <t>k0</t>
  </si>
  <si>
    <t>Q = W_Q X</t>
  </si>
  <si>
    <t>k1</t>
  </si>
  <si>
    <t>V = W_V Y</t>
  </si>
  <si>
    <t>(1, 4)</t>
  </si>
  <si>
    <t>k2</t>
  </si>
  <si>
    <t>S = K^T Q</t>
  </si>
  <si>
    <t>(4, 4): slots x queries</t>
  </si>
  <si>
    <t>(16, 16) per head</t>
  </si>
  <si>
    <t>the code computes Q K^T: queries x slots</t>
  </si>
  <si>
    <t>k3</t>
  </si>
  <si>
    <t>attention</t>
  </si>
  <si>
    <t>each column adds up to 1 here (each row in the code)</t>
  </si>
  <si>
    <t>K = W_K Y (one column per slot)</t>
  </si>
  <si>
    <t>O = V attention</t>
  </si>
  <si>
    <t>one blend per query</t>
  </si>
  <si>
    <t>sharpness</t>
  </si>
  <si>
    <t>10 (set by hand)</t>
  </si>
  <si>
    <t>1/sqrt(32) x learned</t>
  </si>
  <si>
    <t>real scores are scaled by 1/sqrt(d_k)</t>
  </si>
  <si>
    <t>(b) Values: V = W_V Y. W_V keeps only the item, so value j = c_j.</t>
  </si>
  <si>
    <t>The code: src/hemo/model.py, class CrossAttn (the code keeps the same numbers turned on their side (one ROW per token))</t>
  </si>
  <si>
    <t>def __init__(self, cfg, num_heads=None):</t>
  </si>
  <si>
    <t xml:space="preserve">    super().__init__()</t>
  </si>
  <si>
    <t xml:space="preserve">    self.cfg = cfg</t>
  </si>
  <si>
    <t xml:space="preserve">    self.H = num_heads or cfg.num_heads</t>
  </si>
  <si>
    <t>W_V (weights)</t>
  </si>
  <si>
    <t xml:space="preserve">    self.d_k, self.d_model = cfg.d_k, cfg.d_model</t>
  </si>
  <si>
    <t>v</t>
  </si>
  <si>
    <t xml:space="preserve">    self.d_out = d_out(cfg)</t>
  </si>
  <si>
    <t xml:space="preserve">    inner = self.H * self.d_k</t>
  </si>
  <si>
    <t xml:space="preserve">    self.W_q = nn.Linear(cfg.d_model, inner)</t>
  </si>
  <si>
    <t>(c) Queries: Q = W_Q X. X has one column per query (one-hot of p). Column t of W_Q has its 1 in row (t + 1) mod 4, so query p becomes one-hot of p + 1: this head looks 1 ahead.</t>
  </si>
  <si>
    <t xml:space="preserve">    self.W_k = nn.Linear(cfg.d_model, inner)</t>
  </si>
  <si>
    <t>X (queries: one column per query)</t>
  </si>
  <si>
    <t xml:space="preserve">    self.W_v = nn.Linear(cfg.d_model, inner)</t>
  </si>
  <si>
    <t>p = 2</t>
  </si>
  <si>
    <t>p = 0</t>
  </si>
  <si>
    <t>p = 3</t>
  </si>
  <si>
    <t>p = 1</t>
  </si>
  <si>
    <t xml:space="preserve">    self.W_o = nn.Linear(inner, self.d_out)</t>
  </si>
  <si>
    <t>def _split(self, x):</t>
  </si>
  <si>
    <t xml:space="preserve">    B, N, _ = x.shape</t>
  </si>
  <si>
    <t>W_Q (weights, shift by 1)</t>
  </si>
  <si>
    <t xml:space="preserve">    return x.view(B, N, self.H, self.d_k).transpose(1, 2)</t>
  </si>
  <si>
    <t>q0</t>
  </si>
  <si>
    <t>q1</t>
  </si>
  <si>
    <t>def heads(self, X, Y, attn_override=None):</t>
  </si>
  <si>
    <t>q2</t>
  </si>
  <si>
    <t xml:space="preserve">    Q, K, V = self._split(self.W_q(X)), self._split(self.W_k(Y)), self._split(self.W_v(Y))</t>
  </si>
  <si>
    <t>q3</t>
  </si>
  <si>
    <t xml:space="preserve">    if attn_override is None:</t>
  </si>
  <si>
    <t>Q = W_Q X (one column per query)</t>
  </si>
  <si>
    <t xml:space="preserve">        attn = F.softmax(Q @ K.transpose(-2, -1) / math.sqrt(self.d_k), dim=-1)</t>
  </si>
  <si>
    <t xml:space="preserve">    else:</t>
  </si>
  <si>
    <t>(d) Scores: S = K^T Q. Keys on the left (one row per slot), queries on top (one column per query). Column i = query i's score for every slot: 1 where slot = p + shift.</t>
  </si>
  <si>
    <t xml:space="preserve">        attn = attn_override.unsqueeze(1).expand(-1, self.H, -1, -1)</t>
  </si>
  <si>
    <t>Q (copied)</t>
  </si>
  <si>
    <t xml:space="preserve">    return Q, attn, attn @ V</t>
  </si>
  <si>
    <t>K^T (keys: one row per slot)</t>
  </si>
  <si>
    <t>(e) Attention = softmax of (sharpness x S), down each column (each query): e^(sharpness x score) / sum of the column's.</t>
  </si>
  <si>
    <t>sum</t>
  </si>
  <si>
    <t>(f) Output: O = V x attention. Values on the left, attention on top: each query gets a weighted average of the items. Compare with the target.</t>
  </si>
  <si>
    <t>attention (copied)</t>
  </si>
  <si>
    <t>V (copied)</t>
  </si>
  <si>
    <t>out</t>
  </si>
  <si>
    <t>&lt;- O_1</t>
  </si>
  <si>
    <t>target c(p+1)</t>
  </si>
  <si>
    <t>Step 3. A second head (looks 3 ahead), then both heads through their valves</t>
  </si>
  <si>
    <t>Head 2 is built exactly like head 1; only W_Q differs (shift by 3). Its output is at the bottom of (f).</t>
  </si>
  <si>
    <t>heads</t>
  </si>
  <si>
    <t>valves g</t>
  </si>
  <si>
    <t>(2,)</t>
  </si>
  <si>
    <t>(32,), copied to (B, 32)</t>
  </si>
  <si>
    <t>one gain per head</t>
  </si>
  <si>
    <t>[g_1 O_1 ; g_2 O_2]</t>
  </si>
  <si>
    <t>(2, 4): a row per head</t>
  </si>
  <si>
    <t>(1024, 16) per example</t>
  </si>
  <si>
    <t>32 heads x 32 numbers, stacked</t>
  </si>
  <si>
    <t>W_O</t>
  </si>
  <si>
    <t>(2, 2)</t>
  </si>
  <si>
    <t>(64, 1024)</t>
  </si>
  <si>
    <t>W_o: 1024 -&gt; 64</t>
  </si>
  <si>
    <t>prediction</t>
  </si>
  <si>
    <t>(2, 4)</t>
  </si>
  <si>
    <t>(64, 16) per example</t>
  </si>
  <si>
    <t>loss</t>
  </si>
  <si>
    <t>average of 8</t>
  </si>
  <si>
    <t>average of B x 16 x 64</t>
  </si>
  <si>
    <t>mean squared error</t>
  </si>
  <si>
    <t>The code: src/hemo/model.py, CrossAttn.combine and forward</t>
  </si>
  <si>
    <t>def combine(self, out, gate):</t>
  </si>
  <si>
    <t xml:space="preserve">    B = out.size(0)</t>
  </si>
  <si>
    <t xml:space="preserve">    out = (out * gate[:, :, None, None]).transpose(1, 2).reshape(B, -1, self.H * self.d_k)</t>
  </si>
  <si>
    <t xml:space="preserve">    return self.W_o(out)</t>
  </si>
  <si>
    <t>def forward(self, X, Y, gate=None, attn_override=None, **_):</t>
  </si>
  <si>
    <t xml:space="preserve">    _, _, out = self.heads(X, Y, attn_override)</t>
  </si>
  <si>
    <t xml:space="preserve">    if gate is None:</t>
  </si>
  <si>
    <t xml:space="preserve">        gate = torch.ones(X.size(0), self.H, device=X.device)</t>
  </si>
  <si>
    <t xml:space="preserve">    if gate.dim() == 1:</t>
  </si>
  <si>
    <t xml:space="preserve">        gate = gate.unsqueeze(0).expand(X.size(0), -1)</t>
  </si>
  <si>
    <t xml:space="preserve">    return self.combine(out, gate), gate</t>
  </si>
  <si>
    <t>(c) Queries: Q = W_Q X. X has one column per query (one-hot of p). Column t of W_Q has its 1 in row (t + 3) mod 4, so query p becomes one-hot of p + 3: this head looks 3 ahead.</t>
  </si>
  <si>
    <t>W_Q (weights, shift by 3)</t>
  </si>
  <si>
    <t>&lt;- O_2</t>
  </si>
  <si>
    <t>target c(p+3)</t>
  </si>
  <si>
    <t>(g) Valves and read-out: prediction = W_O [g_1 O_1 ; g_2 O_2]. Each head's output row is multiplied by its valve; W_O (weights) on the left. This is the line out * gate in the code.</t>
  </si>
  <si>
    <t>valve g_1</t>
  </si>
  <si>
    <t>valve g_2</t>
  </si>
  <si>
    <t>[g_1 O_1 ; g_2 O_2] (one row per head)</t>
  </si>
  <si>
    <t>head 1</t>
  </si>
  <si>
    <t>W_O (weights)</t>
  </si>
  <si>
    <t>head 2</t>
  </si>
  <si>
    <t>ans 1</t>
  </si>
  <si>
    <t>ans 2</t>
  </si>
  <si>
    <t>target</t>
  </si>
  <si>
    <t>squared error</t>
  </si>
  <si>
    <t>loss (average)</t>
  </si>
  <si>
    <t>Try: set valve g_2 to 0. Head 2's row becomes 0 whatever head 2 computes, answer 2 is lost and the</t>
  </si>
  <si>
    <t>loss jumps. A head with its valve at 0 is removed exactly: it adds nothing, so training sends it no gradient.</t>
  </si>
  <si>
    <t>Step 4. One head, one equation: why the task needs exactly R heads</t>
  </si>
  <si>
    <t>A head returns ONE weighted average of the items: one equation in the unknown items. Take query 0's two</t>
  </si>
  <si>
    <t>unknowns a = c(p+1) and b = c(p+3). Each row of the mixing matrix is one head's recipe.</t>
  </si>
  <si>
    <t>unknowns (a; b)</t>
  </si>
  <si>
    <t>value</t>
  </si>
  <si>
    <t>unknown items per query</t>
  </si>
  <si>
    <t>each 16 numbers long in the real task</t>
  </si>
  <si>
    <t>mixing (one row per head)</t>
  </si>
  <si>
    <t>heads needed</t>
  </si>
  <si>
    <t>one per distance</t>
  </si>
  <si>
    <t>mixing matrix</t>
  </si>
  <si>
    <t>(heads used, 4)</t>
  </si>
  <si>
    <t>rows = the heads' recipes</t>
  </si>
  <si>
    <t>re-fit data</t>
  </si>
  <si>
    <t>1 query</t>
  </si>
  <si>
    <t>16,384 rows</t>
  </si>
  <si>
    <t>1024 examples x 16 query tokens</t>
  </si>
  <si>
    <t>what the heads hand back</t>
  </si>
  <si>
    <t>re-fit design matrix</t>
  </si>
  <si>
    <t>(16,384, 32k + 1)</t>
  </si>
  <si>
    <t>k heads x 32 numbers, plus a constant</t>
  </si>
  <si>
    <t>Can we get a and b back from the two values? Only if the two recipes are different:</t>
  </si>
  <si>
    <t>determinant = m11 m22 - m12 m21</t>
  </si>
  <si>
    <t>The code: experiments/equations_test.py (the real check of one head, one equation)</t>
  </si>
  <si>
    <t>recovered a</t>
  </si>
  <si>
    <t>def head_outputs(data):</t>
  </si>
  <si>
    <t>recovered b</t>
  </si>
  <si>
    <t xml:space="preserve">    with torch.no_grad():</t>
  </si>
  <si>
    <t xml:space="preserve">        _, _, out = model.heads(data[0], data[1])        # (batch, head, token, d_k)</t>
  </si>
  <si>
    <t>Try: (1) mixing rows (0.5, 0.5) and (0.5, -0.5): still recovered. (2) make head 2 a copy of head 1:</t>
  </si>
  <si>
    <t xml:space="preserve">    Z = out.permute(0, 2, 1, 3).reshape(-1, 4, cfg.d_k).double().cpu()</t>
  </si>
  <si>
    <t>determinant 0, 'cannot'. Two copies give the same equation twice, so they count once.</t>
  </si>
  <si>
    <t xml:space="preserve">    return Z, data[2].reshape(-1, data[2].size(-1)).double().cpu()</t>
  </si>
  <si>
    <t>So with k different heads you can recover k of the R items; the rest stay unknown, and the best loss is</t>
  </si>
  <si>
    <t>(1 - k/R) x the loss of a model that learned nothing. Checked on a trained model (R = 4, real task):</t>
  </si>
  <si>
    <t>Zf, Tf = head_outputs(fit)</t>
  </si>
  <si>
    <t>Zv, Tv = head_outputs(val)</t>
  </si>
  <si>
    <t>different heads k</t>
  </si>
  <si>
    <t>measured loss</t>
  </si>
  <si>
    <t>predicted (1 - k/4) x 1.008</t>
  </si>
  <si>
    <t>def refit_loss(cols):</t>
  </si>
  <si>
    <t xml:space="preserve">    def design(Z):</t>
  </si>
  <si>
    <t xml:space="preserve">        X = torch.cat([Z[:, h] for h in cols], 1)</t>
  </si>
  <si>
    <t xml:space="preserve">        return torch.cat([X, torch.ones(len(X), 1, dtype=X.dtype)], 1)</t>
  </si>
  <si>
    <t>Source of the measured losses: results/proposal/equations.pkl (experiments/equations_test.py).</t>
  </si>
  <si>
    <t xml:space="preserve">    W = torch.linalg.lstsq(design(Zf), Tf, driver="gelsd").solution   # safe with copies</t>
  </si>
  <si>
    <t xml:space="preserve">    return float(((design(Zv) @ W - Tv) ** 2).mean())</t>
  </si>
  <si>
    <t>Step 5. The collateral value: what nobody else can cover</t>
  </si>
  <si>
    <t>Three trained heads. Head A looks 1 ahead, head B looks 3 ahead, head C is an exact COPY of A. Their</t>
  </si>
  <si>
    <t>outputs are the items they fetch (one row per head). The read-out W_O (weights, on the left) turns them into the answers.</t>
  </si>
  <si>
    <t>A head's collateral value = how much the loss rises when it is removed AND the others re-fit W_O.</t>
  </si>
  <si>
    <t>Case 1. All heads on.</t>
  </si>
  <si>
    <t>valves g_A, g_B, g_C</t>
  </si>
  <si>
    <t>heads valued</t>
  </si>
  <si>
    <t>3 (A, B, C)</t>
  </si>
  <si>
    <t>every 25 training steps</t>
  </si>
  <si>
    <t>[g_A A ; g_B B ; g_C C] (one row per head)</t>
  </si>
  <si>
    <t>head outputs Z</t>
  </si>
  <si>
    <t>(3, 4): a row per head</t>
  </si>
  <si>
    <t>(1,024, 8,192)</t>
  </si>
  <si>
    <t>32 heads x 32 numbers; 512 probe examples x 16 tokens</t>
  </si>
  <si>
    <t>W_O re-fit</t>
  </si>
  <si>
    <t>(2, 3)</t>
  </si>
  <si>
    <t>(64, 1,024)</t>
  </si>
  <si>
    <t>W = M B, with M the inverse of the Gram matrix of open heads</t>
  </si>
  <si>
    <t>head A</t>
  </si>
  <si>
    <t>Gram matrix Z Z^T / n</t>
  </si>
  <si>
    <t>(3, 3)</t>
  </si>
  <si>
    <t>(1,024, 1,024)</t>
  </si>
  <si>
    <t>plus a tiny ridge for stability</t>
  </si>
  <si>
    <t>head B</t>
  </si>
  <si>
    <t>value of head h</t>
  </si>
  <si>
    <t>re-fit by hand</t>
  </si>
  <si>
    <t>trace(W_J^T M_JJ^-1 W_J) / 64</t>
  </si>
  <si>
    <t>same number as re-fitting without h, without redoing it</t>
  </si>
  <si>
    <t>W_O (read-out weights)</t>
  </si>
  <si>
    <t>head C</t>
  </si>
  <si>
    <t>The code: src/hemo/model.py, HemoAttn.probe_ischemia (the code keeps the same numbers turned on their side (one ROW per token))</t>
  </si>
  <si>
    <t>H, dk = self.H, self.d_k</t>
  </si>
  <si>
    <t>_, _, out = self.heads(X, Y)                                  # (b, H, n, dk)</t>
  </si>
  <si>
    <t>Z = out.permute(0, 2, 1, 3).reshape(-1, H * dk).double()</t>
  </si>
  <si>
    <t>t = T.reshape(-1, T.size(-1)).double()</t>
  </si>
  <si>
    <t>Z, t = Z - Z.mean(0), t - t.mean(0)</t>
  </si>
  <si>
    <t>n, d_out = Z.size(0), t.size(1)</t>
  </si>
  <si>
    <t>A, Bm = Z.T @ Z / n, Z.T @ t / n</t>
  </si>
  <si>
    <t>A += ridge * torch.diagonal(A).mean() * torch.eye(H * dk, dtype=A.dtype, device=A.device)</t>
  </si>
  <si>
    <t>open_ = self.open_mask</t>
  </si>
  <si>
    <t>Case 2. A off, W_O unchanged (ordinary importance: nobody re-fits).</t>
  </si>
  <si>
    <t>blk = torch.arange(H * dk, device=Z.device).view(H, dk)</t>
  </si>
  <si>
    <t>if self.head_dropout &gt; 0:</t>
  </si>
  <si>
    <t xml:space="preserve">    self._probe_under_damage(A, Bm, blk, d_out)</t>
  </si>
  <si>
    <t xml:space="preserve">    return</t>
  </si>
  <si>
    <t>S = blk[open_].reshape(-1)</t>
  </si>
  <si>
    <t>M = torch.linalg.inv(A[S][:, S])</t>
  </si>
  <si>
    <t>W = M @ Bm[S]                                                 # re-fitted read-out</t>
  </si>
  <si>
    <t>value = torch.zeros(H, dtype=A.dtype, device=A.device)</t>
  </si>
  <si>
    <t>ablate = torch.zeros(H, dtype=A.dtype, device=A.device)</t>
  </si>
  <si>
    <t>heads_open = torch.nonzero(open_).flatten()</t>
  </si>
  <si>
    <t>for i, h in enumerate(heads_open.tolist()):                  # fit lost without h</t>
  </si>
  <si>
    <t xml:space="preserve">    J = slice(i * dk, (i + 1) * dk)</t>
  </si>
  <si>
    <t xml:space="preserve">    value[h] = torch.trace(W[J].T @ torch.linalg.solve(M[J, J], W[J])) / d_out</t>
  </si>
  <si>
    <t xml:space="preserve">    # CONTROL: remove h and keep everyone else's read-out as it is. At the fitted</t>
  </si>
  <si>
    <t xml:space="preserve">    # optimum the loss rises by exactly W_J' A_JJ W_J, the head's own contribution</t>
  </si>
  <si>
    <t xml:space="preserve">    Jg = blk[h]</t>
  </si>
  <si>
    <t xml:space="preserve">    ablate[h] = torch.trace(W[J].T @ A[Jg][:, Jg] @ W[J]) / d_out</t>
  </si>
  <si>
    <t>self.head_ablate.copy_(ablate.float())</t>
  </si>
  <si>
    <t>Case 3. A off, W_O re-fitted by hand: C takes A's weight (collateral value of A).</t>
  </si>
  <si>
    <t>shut = torch.nonzero(~open_).flatten()</t>
  </si>
  <si>
    <t>if len(shut):                                                 # fit gained with h</t>
  </si>
  <si>
    <t xml:space="preserve">    Jall = blk[shut].reshape(-1)</t>
  </si>
  <si>
    <t xml:space="preserve">    C = A[Jall][:, S] @ M</t>
  </si>
  <si>
    <t xml:space="preserve">    R = Bm[Jall] - C @ Bm[S]</t>
  </si>
  <si>
    <t xml:space="preserve">    Sc = A[Jall][:, Jall] - C @ A[S][:, Jall]</t>
  </si>
  <si>
    <t xml:space="preserve">    for i, h in enumerate(shut.tolist()):</t>
  </si>
  <si>
    <t xml:space="preserve">        J = slice(i * dk, (i + 1) * dk)</t>
  </si>
  <si>
    <t xml:space="preserve">        value[h] = torch.trace(R[J].T @ torch.linalg.solve(Sc[J, J], R[J])) / d_out</t>
  </si>
  <si>
    <t>self.head_value.copy_(value.float())</t>
  </si>
  <si>
    <t>Case 4. B off, best re-fit: nobody else carries c(p+3), so answer 2 gets weight 0 (collateral value of B).</t>
  </si>
  <si>
    <t>Check of case 4: the best weight for answer 2 on head A's output is sum(A x B) / sum(A x A):</t>
  </si>
  <si>
    <t>It is 0 for these items, so A (and its copy C) can cover nothing of B's job.</t>
  </si>
  <si>
    <t>Summary</t>
  </si>
  <si>
    <t>head</t>
  </si>
  <si>
    <t>ordinary importance (no re-fit)</t>
  </si>
  <si>
    <t>collateral value (re-fit)</t>
  </si>
  <si>
    <t>A</t>
  </si>
  <si>
    <t>B</t>
  </si>
  <si>
    <t>C (copy of A)</t>
  </si>
  <si>
    <t>Ordinary importance says A and C both matter (removing either alone hurts). The collateral value says</t>
  </si>
  <si>
    <t>each is worth 0, because its copy covers it. Only B is irreplaceable. That is why the rule removes copies.</t>
  </si>
  <si>
    <t>Step 6. The rule: close the cheapest head while it is worth less than the price</t>
  </si>
  <si>
    <t>Every 25 training steps: value every open head, close the cheapest if its value is below the price,</t>
  </si>
  <si>
    <t>and fade it out slowly. Repeat until every open head is worth more than the price.</t>
  </si>
  <si>
    <t>price</t>
  </si>
  <si>
    <t>Round 1 (all three heads open)</t>
  </si>
  <si>
    <t>heads at the start</t>
  </si>
  <si>
    <t>3</t>
  </si>
  <si>
    <t>C</t>
  </si>
  <si>
    <t>1 (set by hand)</t>
  </si>
  <si>
    <t>0.03 x L_triv</t>
  </si>
  <si>
    <t>L_triv = loss of a model that always guesses the average</t>
  </si>
  <si>
    <t>decisions</t>
  </si>
  <si>
    <t>2 rounds</t>
  </si>
  <si>
    <t>every 25 steps, step 400 to 4000</t>
  </si>
  <si>
    <t>one closure (or reopening) per decision</t>
  </si>
  <si>
    <t>cheapest</t>
  </si>
  <si>
    <t>fade</t>
  </si>
  <si>
    <t>instant</t>
  </si>
  <si>
    <t>1/100 per step</t>
  </si>
  <si>
    <t>taper = 100</t>
  </si>
  <si>
    <t>decision</t>
  </si>
  <si>
    <t>reopen</t>
  </si>
  <si>
    <t>not shown</t>
  </si>
  <si>
    <t>if worth &gt; 2 x price</t>
  </si>
  <si>
    <t>so a head at the margin does not flicker</t>
  </si>
  <si>
    <t>Round 2 (A closed). Now C is the only head carrying c(p+1), so removing C would lose answer 1 entirely:</t>
  </si>
  <si>
    <t>The code: src/hemo/model.py, HemoAttn.local_step and relax_tone</t>
  </si>
  <si>
    <t>closed</t>
  </si>
  <si>
    <t>@torch.no_grad()</t>
  </si>
  <si>
    <t>def local_step(self, price):</t>
  </si>
  <si>
    <t>(stop = every open head is worth more than the price)</t>
  </si>
  <si>
    <t xml:space="preserve">    v, open_ = self.head_value, self.open_mask</t>
  </si>
  <si>
    <t xml:space="preserve">    if int(open_.sum()) &gt; 1:</t>
  </si>
  <si>
    <t>C's value in round 2 = average over both answers of c(p+1)^2 = sum of c(p+1)^2 / 8.</t>
  </si>
  <si>
    <t xml:space="preserve">        # the controls change only WHICH value decides the closure (reopening below is</t>
  </si>
  <si>
    <t>Result: B and C stay, 2 heads for a 2-distance task. Nobody told the rule the answer is 2.</t>
  </si>
  <si>
    <t xml:space="preserve">        # always the re-fit gain): ablate swaps in the standard score, random keeps the</t>
  </si>
  <si>
    <t xml:space="preserve">        # rule's timing but picks the head blind</t>
  </si>
  <si>
    <t>Try: raise the price above both round-2 values. The rule then closes a needed head and the task breaks.</t>
  </si>
  <si>
    <t xml:space="preserve">        score = self.head_ablate if self.local_value == "ablate" else v</t>
  </si>
  <si>
    <t>Lower it to 0: nothing is ever closed. In the experiments the price is 3% of a know-nothing model's loss.</t>
  </si>
  <si>
    <t xml:space="preserve">        cheapest = torch.where(open_, score, torch.full_like(score, float("inf")))</t>
  </si>
  <si>
    <t>In training, a closed head fades out over 100 steps, so the other heads adjust while it goes.</t>
  </si>
  <si>
    <t xml:space="preserve">        h = int(cheapest.argmin())</t>
  </si>
  <si>
    <t xml:space="preserve">        if float(cheapest[h]) &lt; price:</t>
  </si>
  <si>
    <t xml:space="preserve">            if self.local_value == "random":</t>
  </si>
  <si>
    <t xml:space="preserve">                idx = torch.nonzero(open_).flatten().cpu()</t>
  </si>
  <si>
    <t xml:space="preserve">                h = int(idx[torch.randint(len(idx), (1,), generator=self._pick)])</t>
  </si>
  <si>
    <t xml:space="preserve">            open_[h] = False</t>
  </si>
  <si>
    <t xml:space="preserve">            return</t>
  </si>
  <si>
    <t xml:space="preserve">    best = torch.where(~open_, v, torch.full_like(v, -float("inf")))</t>
  </si>
  <si>
    <t xml:space="preserve">    h = int(best.argmax())</t>
  </si>
  <si>
    <t xml:space="preserve">    if float(best[h]) &gt; 2 * price:</t>
  </si>
  <si>
    <t xml:space="preserve">        open_[h] = True</t>
  </si>
  <si>
    <t>def relax_tone(self):</t>
  </si>
  <si>
    <t xml:space="preserve">    target = self.open_mask.to(self.tone.dtype)</t>
  </si>
  <si>
    <t xml:space="preserve">    if self.taper &lt;= 0:</t>
  </si>
  <si>
    <t xml:space="preserve">        self.tone.copy_(target)</t>
  </si>
  <si>
    <t xml:space="preserve">        speed = torch.full_like(self.tone, 1.0 / self.taper)</t>
  </si>
  <si>
    <t xml:space="preserve">        if self.trial_head is not None:                # a trial closure fades slowly</t>
  </si>
  <si>
    <t xml:space="preserve">            speed[self.trial_head] = 1.0 / max(1, self.trial_taper)</t>
  </si>
  <si>
    <t xml:space="preserve">        self.tone.add_(torch.maximum(torch.minimum(target - self.tone, speed), -speed))</t>
  </si>
  <si>
    <t>The code: src/hemo/train.py, the lines of train() that run the rule</t>
  </si>
  <si>
    <t>price = cfg.price_frac * trivial_loss(val)</t>
  </si>
  <si>
    <t>for step in range(total):</t>
  </si>
  <si>
    <t>model.relax_tone()</t>
  </si>
  <si>
    <t>if (step - hold) % cfg.probe_every == 0:</t>
  </si>
  <si>
    <t>model.probe_ischemia(*make_batch(cfg.probe_batch, cfg, device)[:3])</t>
  </si>
  <si>
    <t>model.local_step(price)</t>
  </si>
  <si>
    <t>Step 7. Backup heads when heads can fail</t>
  </si>
  <si>
    <t>If every head fails (valve forced to 0) with chance p at each step, a spare head is worth keeping when it</t>
  </si>
  <si>
    <t>is likely to be needed: it works AND fewer than R of the other heads work. Its value with B heads open:</t>
  </si>
  <si>
    <t>v(B) = (1 - p) / R x P[ Binomial(B - 1, 1 - p) &lt;= R - 1 ]</t>
  </si>
  <si>
    <t>R (heads needed)</t>
  </si>
  <si>
    <t>p (chance a head fails)</t>
  </si>
  <si>
    <t>R</t>
  </si>
  <si>
    <t>set above</t>
  </si>
  <si>
    <t>2 or 4</t>
  </si>
  <si>
    <t>price (fraction of a know-nothing loss)</t>
  </si>
  <si>
    <t>failure chance p</t>
  </si>
  <si>
    <t>0.05, 0.1, 0.2, 0.3</t>
  </si>
  <si>
    <t>head_dropout</t>
  </si>
  <si>
    <t>B heads open</t>
  </si>
  <si>
    <t>P[fewer than R others work]</t>
  </si>
  <si>
    <t>value v(B)</t>
  </si>
  <si>
    <t>keep?</t>
  </si>
  <si>
    <t>failure patterns</t>
  </si>
  <si>
    <t>exact formula</t>
  </si>
  <si>
    <t>32 random patterns per probe</t>
  </si>
  <si>
    <t>probe_masks = 32</t>
  </si>
  <si>
    <t>The code: src/hemo/model.py, HemoAttn._probe_under_damage</t>
  </si>
  <si>
    <t>def _probe_under_damage(self, A, Bm, blk, d_out):</t>
  </si>
  <si>
    <t xml:space="preserve">    total = torch.zeros(self.H, dtype=A.dtype, device=A.device)</t>
  </si>
  <si>
    <t xml:space="preserve">    for _ in range(self.probe_masks):</t>
  </si>
  <si>
    <t xml:space="preserve">        alive = (torch.rand(self.H, generator=self._damage) &gt;= self.head_dropout).to(A.device)</t>
  </si>
  <si>
    <t xml:space="preserve">        v = self._refit_values(A, Bm, blk, self.open_mask &amp; alive, d_out)</t>
  </si>
  <si>
    <t xml:space="preserve">        total += torch.where(alive, v, torch.zeros_like(v))</t>
  </si>
  <si>
    <t xml:space="preserve">    self.head_value.copy_((total / self.probe_masks).float())</t>
  </si>
  <si>
    <t xml:space="preserve">    self.head_ablate.zero_()</t>
  </si>
  <si>
    <t>predicted heads kept</t>
  </si>
  <si>
    <t>By hand (R = 4, p = 0.1): B = 5 needs 'fewer than 4 of the other 4 work' = 1 - 0.9^4 = 0.344,</t>
  </si>
  <si>
    <t>so v(5) = 0.9/4 x 0.344 = 0.077 &gt; 0.03: keep. B = 6 gives 0.018 &lt; 0.03: drop. Predicted: 5 heads.</t>
  </si>
  <si>
    <t>Measured in training (3 seeds each), written down BEFORE the runs:</t>
  </si>
  <si>
    <t>measured heads kept</t>
  </si>
  <si>
    <t>3, 3, 3</t>
  </si>
  <si>
    <t>4, 4, 4</t>
  </si>
  <si>
    <t>5, 4, 5</t>
  </si>
  <si>
    <t>5, 5, 4</t>
  </si>
  <si>
    <t>5, 5, 5</t>
  </si>
  <si>
    <t>6, 6, 6</t>
  </si>
  <si>
    <t>7, 7, 7</t>
  </si>
  <si>
    <t>Source: results/robust (experiments/run.py with --head_dropout). Put R and p above to compare.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</si>
</sst>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1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i/>
      <sz val="9"/>
      <color rgb="FF595959"/>
      <name val="Arial"/>
    </font>
    <font>
      <sz val="10"/>
      <color rgb="FF0000FF"/>
      <name val="Arial"/>
    </font>
    <font>
      <i/>
      <sz val="10"/>
      <color rgb="FF000000"/>
      <name val="Arial"/>
    </font>
    <font>
      <i/>
      <sz val="10"/>
      <color rgb="FF595959"/>
      <name val="Arial"/>
    </font>
    <font>
      <b/>
      <sz val="11"/>
      <color rgb="FF000000"/>
      <name val="Arial"/>
    </font>
    <font>
      <sz val="9"/>
      <color rgb="FF000000"/>
      <name val="Arial"/>
    </font>
    <font>
      <sz val="9"/>
      <color rgb="FF1F1F1F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0" fillId="7" borderId="0" xfId="0" applyFill="1"/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5" fontId="2" fillId="5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24"/>
  <sheetViews>
    <sheetView showGridLines="0" tabSelected="1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19" ht="18" x14ac:dyDescent="0.25">
      <c r="B1" s="1" t="s">
        <v>0</v>
      </c>
    </row>
    <row r="3" spans="2:19" x14ac:dyDescent="0.25">
      <c r="B3" s="2" t="s">
        <v>1</v>
      </c>
    </row>
    <row r="4" spans="2:19" x14ac:dyDescent="0.25">
      <c r="B4" s="2" t="s">
        <v>2</v>
      </c>
    </row>
    <row r="5" spans="2:19" x14ac:dyDescent="0.25">
      <c r="B5" s="2"/>
      <c r="P5" s="3" t="s">
        <v>3</v>
      </c>
    </row>
    <row r="6" spans="2:19" x14ac:dyDescent="0.25">
      <c r="B6" s="2" t="s">
        <v>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19" x14ac:dyDescent="0.25">
      <c r="B7" s="2" t="s">
        <v>9</v>
      </c>
      <c r="P7" s="5" t="s">
        <v>10</v>
      </c>
      <c r="Q7" s="5" t="s">
        <v>11</v>
      </c>
      <c r="R7" s="5" t="s">
        <v>12</v>
      </c>
      <c r="S7" s="6"/>
    </row>
    <row r="8" spans="2:19" x14ac:dyDescent="0.25">
      <c r="B8" s="2"/>
      <c r="P8" s="5" t="s">
        <v>13</v>
      </c>
      <c r="Q8" s="5" t="s">
        <v>14</v>
      </c>
      <c r="R8" s="5" t="s">
        <v>15</v>
      </c>
      <c r="S8" s="6"/>
    </row>
    <row r="9" spans="2:19" x14ac:dyDescent="0.25">
      <c r="B9" s="2" t="s">
        <v>16</v>
      </c>
      <c r="P9" s="5" t="s">
        <v>17</v>
      </c>
      <c r="Q9" s="5" t="s">
        <v>18</v>
      </c>
      <c r="R9" s="5" t="s">
        <v>12</v>
      </c>
      <c r="S9" s="6"/>
    </row>
    <row r="10" spans="2:19" x14ac:dyDescent="0.25">
      <c r="B10" s="2" t="s">
        <v>19</v>
      </c>
      <c r="P10" s="5" t="s">
        <v>20</v>
      </c>
      <c r="Q10" s="5" t="s">
        <v>21</v>
      </c>
      <c r="R10" s="5" t="s">
        <v>22</v>
      </c>
      <c r="S10" s="6" t="s">
        <v>23</v>
      </c>
    </row>
    <row r="11" spans="2:19" x14ac:dyDescent="0.25">
      <c r="B11" s="2" t="s">
        <v>24</v>
      </c>
      <c r="P11" s="5" t="s">
        <v>25</v>
      </c>
      <c r="Q11" s="5" t="s">
        <v>26</v>
      </c>
      <c r="R11" s="5" t="s">
        <v>27</v>
      </c>
      <c r="S11" s="6"/>
    </row>
    <row r="12" spans="2:19" x14ac:dyDescent="0.25">
      <c r="B12" s="2" t="s">
        <v>28</v>
      </c>
      <c r="P12" s="5" t="s">
        <v>29</v>
      </c>
      <c r="Q12" s="5" t="s">
        <v>30</v>
      </c>
      <c r="R12" s="5" t="s">
        <v>27</v>
      </c>
      <c r="S12" s="6" t="s">
        <v>31</v>
      </c>
    </row>
    <row r="13" spans="2:19" x14ac:dyDescent="0.25">
      <c r="F13" s="4" t="s">
        <v>32</v>
      </c>
      <c r="P13" s="5" t="s">
        <v>33</v>
      </c>
      <c r="Q13" s="5" t="s">
        <v>34</v>
      </c>
      <c r="R13" s="5" t="s">
        <v>35</v>
      </c>
      <c r="S13" s="6"/>
    </row>
    <row r="14" spans="2:19" x14ac:dyDescent="0.25">
      <c r="F14" s="7" t="s">
        <v>36</v>
      </c>
      <c r="G14" s="7" t="s">
        <v>37</v>
      </c>
      <c r="P14" s="5" t="s">
        <v>38</v>
      </c>
      <c r="Q14" s="5" t="s">
        <v>39</v>
      </c>
      <c r="R14" s="5" t="s">
        <v>40</v>
      </c>
      <c r="S14" s="6" t="s">
        <v>41</v>
      </c>
    </row>
    <row r="15" spans="2:19" x14ac:dyDescent="0.25">
      <c r="F15" s="8">
        <v>5</v>
      </c>
      <c r="G15" s="8">
        <v>6</v>
      </c>
    </row>
    <row r="16" spans="2:19" x14ac:dyDescent="0.25">
      <c r="C16" s="4" t="s">
        <v>42</v>
      </c>
      <c r="F16" s="8">
        <v>7</v>
      </c>
      <c r="G16" s="8">
        <v>8</v>
      </c>
    </row>
    <row r="17" spans="2:7" x14ac:dyDescent="0.25">
      <c r="B17" s="7" t="s">
        <v>43</v>
      </c>
      <c r="C17" s="9">
        <v>1</v>
      </c>
      <c r="D17" s="9">
        <v>2</v>
      </c>
      <c r="F17" s="10">
        <f>C17*F15+D17*F16</f>
        <v>19</v>
      </c>
      <c r="G17" s="10">
        <f>C17*G15+D17*G16</f>
        <v>22</v>
      </c>
    </row>
    <row r="18" spans="2:7" x14ac:dyDescent="0.25">
      <c r="B18" s="7" t="s">
        <v>44</v>
      </c>
      <c r="C18" s="9">
        <v>3</v>
      </c>
      <c r="D18" s="9">
        <v>4</v>
      </c>
      <c r="F18" s="10">
        <f>C18*F15+D18*F16</f>
        <v>43</v>
      </c>
      <c r="G18" s="10">
        <f>C18*G15+D18*G16</f>
        <v>50</v>
      </c>
    </row>
    <row r="19" spans="2:7" x14ac:dyDescent="0.25">
      <c r="F19" s="4" t="s">
        <v>45</v>
      </c>
    </row>
    <row r="21" spans="2:7" x14ac:dyDescent="0.25">
      <c r="B21" s="2" t="s">
        <v>46</v>
      </c>
    </row>
    <row r="23" spans="2:7" x14ac:dyDescent="0.25">
      <c r="B23" s="2" t="s">
        <v>47</v>
      </c>
    </row>
    <row r="24" spans="2:7" x14ac:dyDescent="0.25">
      <c r="B24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3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49</v>
      </c>
    </row>
    <row r="2" spans="2:21" x14ac:dyDescent="0.25">
      <c r="B2" s="2" t="s">
        <v>50</v>
      </c>
    </row>
    <row r="3" spans="2:21" x14ac:dyDescent="0.25">
      <c r="B3" s="2" t="s">
        <v>51</v>
      </c>
    </row>
    <row r="5" spans="2:21" x14ac:dyDescent="0.25">
      <c r="B5" s="2" t="s">
        <v>52</v>
      </c>
      <c r="C5" s="11">
        <v>0</v>
      </c>
      <c r="D5" s="11">
        <v>1</v>
      </c>
      <c r="E5" s="11">
        <v>2</v>
      </c>
      <c r="F5" s="11">
        <v>3</v>
      </c>
      <c r="P5" s="3" t="s">
        <v>3</v>
      </c>
    </row>
    <row r="6" spans="2:21" x14ac:dyDescent="0.25">
      <c r="B6" s="2" t="s">
        <v>53</v>
      </c>
      <c r="C6" s="12">
        <v>2</v>
      </c>
      <c r="D6" s="12">
        <v>1</v>
      </c>
      <c r="E6" s="12">
        <v>-3</v>
      </c>
      <c r="F6" s="12">
        <v>6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P7" s="5" t="s">
        <v>54</v>
      </c>
      <c r="Q7" s="5" t="s">
        <v>11</v>
      </c>
      <c r="R7" s="5" t="s">
        <v>12</v>
      </c>
      <c r="S7" s="6" t="s">
        <v>55</v>
      </c>
    </row>
    <row r="8" spans="2:21" x14ac:dyDescent="0.25">
      <c r="P8" s="5" t="s">
        <v>56</v>
      </c>
      <c r="Q8" s="5" t="s">
        <v>57</v>
      </c>
      <c r="R8" s="5" t="s">
        <v>58</v>
      </c>
      <c r="S8" s="6" t="s">
        <v>59</v>
      </c>
    </row>
    <row r="9" spans="2:21" x14ac:dyDescent="0.25">
      <c r="B9" s="4" t="s">
        <v>60</v>
      </c>
      <c r="C9" s="4" t="s">
        <v>61</v>
      </c>
      <c r="D9" s="4" t="s">
        <v>62</v>
      </c>
      <c r="E9" s="4" t="s">
        <v>63</v>
      </c>
      <c r="F9" s="4" t="s">
        <v>64</v>
      </c>
      <c r="G9" s="4" t="s">
        <v>65</v>
      </c>
      <c r="H9" s="4" t="s">
        <v>66</v>
      </c>
      <c r="I9" s="4" t="s">
        <v>67</v>
      </c>
      <c r="P9" s="5" t="s">
        <v>68</v>
      </c>
      <c r="Q9" s="5" t="s">
        <v>69</v>
      </c>
      <c r="R9" s="5" t="s">
        <v>58</v>
      </c>
      <c r="S9" s="6" t="s">
        <v>70</v>
      </c>
    </row>
    <row r="10" spans="2:21" x14ac:dyDescent="0.25">
      <c r="B10" s="11">
        <v>0</v>
      </c>
      <c r="C10" s="12">
        <v>2</v>
      </c>
      <c r="D10" s="11">
        <f>C10+1</f>
        <v>3</v>
      </c>
      <c r="E10" s="11">
        <f>MOD(D10,4)</f>
        <v>3</v>
      </c>
      <c r="F10" s="10">
        <f>INDEX($C$6:$F$6,E10+1)</f>
        <v>6</v>
      </c>
      <c r="G10" s="11">
        <f>C10+3</f>
        <v>5</v>
      </c>
      <c r="H10" s="11">
        <f>MOD(G10,4)</f>
        <v>1</v>
      </c>
      <c r="I10" s="10">
        <f>INDEX($C$6:$F$6,H10+1)</f>
        <v>1</v>
      </c>
      <c r="P10" s="5" t="s">
        <v>53</v>
      </c>
      <c r="Q10" s="5" t="s">
        <v>71</v>
      </c>
      <c r="R10" s="5" t="s">
        <v>72</v>
      </c>
      <c r="S10" s="6" t="s">
        <v>73</v>
      </c>
    </row>
    <row r="11" spans="2:21" x14ac:dyDescent="0.25">
      <c r="B11" s="11">
        <v>1</v>
      </c>
      <c r="C11" s="12">
        <v>0</v>
      </c>
      <c r="D11" s="11">
        <f>C11+1</f>
        <v>1</v>
      </c>
      <c r="E11" s="11">
        <f>MOD(D11,4)</f>
        <v>1</v>
      </c>
      <c r="F11" s="10">
        <f>INDEX($C$6:$F$6,E11+1)</f>
        <v>1</v>
      </c>
      <c r="G11" s="11">
        <f>C11+3</f>
        <v>3</v>
      </c>
      <c r="H11" s="11">
        <f>MOD(G11,4)</f>
        <v>3</v>
      </c>
      <c r="I11" s="10">
        <f>INDEX($C$6:$F$6,H11+1)</f>
        <v>6</v>
      </c>
      <c r="P11" s="5" t="s">
        <v>74</v>
      </c>
      <c r="Q11" s="5" t="s">
        <v>75</v>
      </c>
      <c r="R11" s="5" t="s">
        <v>76</v>
      </c>
      <c r="S11" s="6" t="s">
        <v>77</v>
      </c>
    </row>
    <row r="12" spans="2:21" x14ac:dyDescent="0.25">
      <c r="B12" s="11">
        <v>2</v>
      </c>
      <c r="C12" s="12">
        <v>3</v>
      </c>
      <c r="D12" s="11">
        <f>C12+1</f>
        <v>4</v>
      </c>
      <c r="E12" s="11">
        <f>MOD(D12,4)</f>
        <v>0</v>
      </c>
      <c r="F12" s="10">
        <f>INDEX($C$6:$F$6,E12+1)</f>
        <v>2</v>
      </c>
      <c r="G12" s="11">
        <f>C12+3</f>
        <v>6</v>
      </c>
      <c r="H12" s="11">
        <f>MOD(G12,4)</f>
        <v>2</v>
      </c>
      <c r="I12" s="10">
        <f>INDEX($C$6:$F$6,H12+1)</f>
        <v>-3</v>
      </c>
      <c r="P12" s="5" t="s">
        <v>78</v>
      </c>
      <c r="Q12" s="5" t="s">
        <v>79</v>
      </c>
      <c r="R12" s="5" t="s">
        <v>80</v>
      </c>
      <c r="S12" s="6" t="s">
        <v>81</v>
      </c>
    </row>
    <row r="13" spans="2:21" x14ac:dyDescent="0.25">
      <c r="B13" s="11">
        <v>3</v>
      </c>
      <c r="C13" s="12">
        <v>1</v>
      </c>
      <c r="D13" s="11">
        <f>C13+1</f>
        <v>2</v>
      </c>
      <c r="E13" s="11">
        <f>MOD(D13,4)</f>
        <v>2</v>
      </c>
      <c r="F13" s="10">
        <f>INDEX($C$6:$F$6,E13+1)</f>
        <v>-3</v>
      </c>
      <c r="G13" s="11">
        <f>C13+3</f>
        <v>4</v>
      </c>
      <c r="H13" s="11">
        <f>MOD(G13,4)</f>
        <v>0</v>
      </c>
      <c r="I13" s="10">
        <f>INDEX($C$6:$F$6,H13+1)</f>
        <v>2</v>
      </c>
    </row>
    <row r="14" spans="2:21" x14ac:dyDescent="0.25">
      <c r="B14" s="13" t="s">
        <v>82</v>
      </c>
    </row>
    <row r="15" spans="2:21" x14ac:dyDescent="0.25">
      <c r="B15" s="2" t="s">
        <v>83</v>
      </c>
      <c r="P15" s="3" t="s">
        <v>84</v>
      </c>
    </row>
    <row r="16" spans="2:21" x14ac:dyDescent="0.25">
      <c r="B16" s="2" t="s">
        <v>85</v>
      </c>
      <c r="P16" s="14" t="s">
        <v>86</v>
      </c>
      <c r="Q16" s="15"/>
      <c r="R16" s="15"/>
      <c r="S16" s="15"/>
      <c r="T16" s="15"/>
      <c r="U16" s="15"/>
    </row>
    <row r="17" spans="2:21" x14ac:dyDescent="0.25">
      <c r="B17" s="2" t="s">
        <v>87</v>
      </c>
      <c r="P17" s="14" t="s">
        <v>88</v>
      </c>
      <c r="Q17" s="15"/>
      <c r="R17" s="15"/>
      <c r="S17" s="15"/>
      <c r="T17" s="15"/>
      <c r="U17" s="15"/>
    </row>
    <row r="18" spans="2:21" x14ac:dyDescent="0.25">
      <c r="P18" s="14"/>
      <c r="Q18" s="15"/>
      <c r="R18" s="15"/>
      <c r="S18" s="15"/>
      <c r="T18" s="15"/>
      <c r="U18" s="15"/>
    </row>
    <row r="19" spans="2:21" x14ac:dyDescent="0.25">
      <c r="B19" s="2" t="s">
        <v>89</v>
      </c>
      <c r="P19" s="14" t="s">
        <v>90</v>
      </c>
      <c r="Q19" s="15"/>
      <c r="R19" s="15"/>
      <c r="S19" s="15"/>
      <c r="T19" s="15"/>
      <c r="U19" s="15"/>
    </row>
    <row r="20" spans="2:21" x14ac:dyDescent="0.25">
      <c r="B20" s="2" t="s">
        <v>91</v>
      </c>
      <c r="P20" s="14" t="s">
        <v>92</v>
      </c>
      <c r="Q20" s="15"/>
      <c r="R20" s="15"/>
      <c r="S20" s="15"/>
      <c r="T20" s="15"/>
      <c r="U20" s="15"/>
    </row>
    <row r="21" spans="2:21" x14ac:dyDescent="0.25">
      <c r="P21" s="14" t="s">
        <v>93</v>
      </c>
      <c r="Q21" s="15"/>
      <c r="R21" s="15"/>
      <c r="S21" s="15"/>
      <c r="T21" s="15"/>
      <c r="U21" s="15"/>
    </row>
    <row r="22" spans="2:21" x14ac:dyDescent="0.25">
      <c r="B22" s="4" t="s">
        <v>94</v>
      </c>
      <c r="P22" s="14" t="s">
        <v>95</v>
      </c>
      <c r="Q22" s="15"/>
      <c r="R22" s="15"/>
      <c r="S22" s="15"/>
      <c r="T22" s="15"/>
      <c r="U22" s="15"/>
    </row>
    <row r="23" spans="2:21" x14ac:dyDescent="0.25">
      <c r="B23" s="2" t="s">
        <v>96</v>
      </c>
      <c r="P23" s="14" t="s">
        <v>97</v>
      </c>
      <c r="Q23" s="15"/>
      <c r="R23" s="15"/>
      <c r="S23" s="15"/>
      <c r="T23" s="15"/>
      <c r="U23" s="15"/>
    </row>
    <row r="24" spans="2:21" x14ac:dyDescent="0.25">
      <c r="C24" s="2" t="s">
        <v>98</v>
      </c>
      <c r="P24" s="14" t="s">
        <v>99</v>
      </c>
      <c r="Q24" s="15"/>
      <c r="R24" s="15"/>
      <c r="S24" s="15"/>
      <c r="T24" s="15"/>
      <c r="U24" s="15"/>
    </row>
    <row r="25" spans="2:21" x14ac:dyDescent="0.25">
      <c r="B25" s="2" t="s">
        <v>100</v>
      </c>
      <c r="P25" s="14" t="s">
        <v>101</v>
      </c>
      <c r="Q25" s="15"/>
      <c r="R25" s="15"/>
      <c r="S25" s="15"/>
      <c r="T25" s="15"/>
      <c r="U25" s="15"/>
    </row>
    <row r="26" spans="2:21" x14ac:dyDescent="0.25">
      <c r="B26" s="2" t="s">
        <v>102</v>
      </c>
      <c r="P26" s="14" t="s">
        <v>103</v>
      </c>
      <c r="Q26" s="15"/>
      <c r="R26" s="15"/>
      <c r="S26" s="15"/>
      <c r="T26" s="15"/>
      <c r="U26" s="15"/>
    </row>
    <row r="27" spans="2:21" x14ac:dyDescent="0.25">
      <c r="B27" s="2" t="s">
        <v>104</v>
      </c>
      <c r="P27" s="14" t="s">
        <v>105</v>
      </c>
      <c r="Q27" s="15"/>
      <c r="R27" s="15"/>
      <c r="S27" s="15"/>
      <c r="T27" s="15"/>
      <c r="U27" s="15"/>
    </row>
    <row r="28" spans="2:21" x14ac:dyDescent="0.25">
      <c r="B28" s="2" t="s">
        <v>106</v>
      </c>
      <c r="P28" s="14" t="s">
        <v>107</v>
      </c>
      <c r="Q28" s="15"/>
      <c r="R28" s="15"/>
      <c r="S28" s="15"/>
      <c r="T28" s="15"/>
      <c r="U28" s="15"/>
    </row>
    <row r="29" spans="2:21" x14ac:dyDescent="0.25">
      <c r="P29" s="14" t="s">
        <v>108</v>
      </c>
      <c r="Q29" s="15"/>
      <c r="R29" s="15"/>
      <c r="S29" s="15"/>
      <c r="T29" s="15"/>
      <c r="U29" s="15"/>
    </row>
    <row r="30" spans="2:21" x14ac:dyDescent="0.25">
      <c r="P30" s="14" t="s">
        <v>109</v>
      </c>
      <c r="Q30" s="15"/>
      <c r="R30" s="15"/>
      <c r="S30" s="15"/>
      <c r="T30" s="15"/>
      <c r="U30" s="15"/>
    </row>
    <row r="31" spans="2:21" x14ac:dyDescent="0.25">
      <c r="P31" s="14" t="s">
        <v>110</v>
      </c>
      <c r="Q31" s="15"/>
      <c r="R31" s="15"/>
      <c r="S31" s="15"/>
      <c r="T31" s="15"/>
      <c r="U31" s="15"/>
    </row>
    <row r="32" spans="2:21" x14ac:dyDescent="0.25">
      <c r="P32" s="14" t="s">
        <v>111</v>
      </c>
      <c r="Q32" s="15"/>
      <c r="R32" s="15"/>
      <c r="S32" s="15"/>
      <c r="T32" s="15"/>
      <c r="U32" s="15"/>
    </row>
    <row r="33" spans="16:21" x14ac:dyDescent="0.25">
      <c r="P33" s="14" t="s">
        <v>112</v>
      </c>
      <c r="Q33" s="15"/>
      <c r="R33" s="15"/>
      <c r="S33" s="15"/>
      <c r="T33" s="15"/>
      <c r="U33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U73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19" ht="18" x14ac:dyDescent="0.25">
      <c r="B1" s="1" t="s">
        <v>113</v>
      </c>
    </row>
    <row r="2" spans="2:19" x14ac:dyDescent="0.25">
      <c r="B2" s="2" t="s">
        <v>114</v>
      </c>
    </row>
    <row r="3" spans="2:19" x14ac:dyDescent="0.25">
      <c r="B3" s="2" t="s">
        <v>115</v>
      </c>
    </row>
    <row r="5" spans="2:19" x14ac:dyDescent="0.25">
      <c r="B5" s="13" t="s">
        <v>116</v>
      </c>
      <c r="P5" s="3" t="s">
        <v>3</v>
      </c>
    </row>
    <row r="6" spans="2:19" x14ac:dyDescent="0.25">
      <c r="I6" s="4" t="s">
        <v>117</v>
      </c>
      <c r="P6" s="4" t="s">
        <v>5</v>
      </c>
      <c r="Q6" s="4" t="s">
        <v>6</v>
      </c>
      <c r="R6" s="4" t="s">
        <v>7</v>
      </c>
      <c r="S6" s="4" t="s">
        <v>8</v>
      </c>
    </row>
    <row r="7" spans="2:19" x14ac:dyDescent="0.25">
      <c r="I7" s="7" t="s">
        <v>118</v>
      </c>
      <c r="J7" s="7" t="s">
        <v>119</v>
      </c>
      <c r="K7" s="7" t="s">
        <v>120</v>
      </c>
      <c r="L7" s="7" t="s">
        <v>121</v>
      </c>
      <c r="P7" s="5" t="s">
        <v>122</v>
      </c>
      <c r="Q7" s="5" t="s">
        <v>57</v>
      </c>
      <c r="R7" s="5" t="s">
        <v>123</v>
      </c>
      <c r="S7" s="6" t="s">
        <v>124</v>
      </c>
    </row>
    <row r="8" spans="2:19" x14ac:dyDescent="0.25">
      <c r="I8" s="16">
        <v>1</v>
      </c>
      <c r="J8" s="16">
        <v>0</v>
      </c>
      <c r="K8" s="16">
        <v>0</v>
      </c>
      <c r="L8" s="16">
        <v>0</v>
      </c>
      <c r="P8" s="5" t="s">
        <v>125</v>
      </c>
      <c r="Q8" s="5" t="s">
        <v>69</v>
      </c>
      <c r="R8" s="5" t="s">
        <v>123</v>
      </c>
      <c r="S8" s="6" t="s">
        <v>126</v>
      </c>
    </row>
    <row r="9" spans="2:19" x14ac:dyDescent="0.25">
      <c r="I9" s="16">
        <v>0</v>
      </c>
      <c r="J9" s="16">
        <v>1</v>
      </c>
      <c r="K9" s="16">
        <v>0</v>
      </c>
      <c r="L9" s="16">
        <v>0</v>
      </c>
      <c r="P9" s="5" t="s">
        <v>127</v>
      </c>
      <c r="Q9" s="5" t="s">
        <v>128</v>
      </c>
      <c r="R9" s="5" t="s">
        <v>123</v>
      </c>
      <c r="S9" s="6" t="s">
        <v>129</v>
      </c>
    </row>
    <row r="10" spans="2:19" x14ac:dyDescent="0.25">
      <c r="I10" s="16">
        <v>0</v>
      </c>
      <c r="J10" s="16">
        <v>0</v>
      </c>
      <c r="K10" s="16">
        <v>1</v>
      </c>
      <c r="L10" s="16">
        <v>0</v>
      </c>
      <c r="P10" s="5" t="s">
        <v>68</v>
      </c>
      <c r="Q10" s="5" t="s">
        <v>130</v>
      </c>
      <c r="R10" s="5" t="s">
        <v>131</v>
      </c>
      <c r="S10" s="6" t="s">
        <v>132</v>
      </c>
    </row>
    <row r="11" spans="2:19" x14ac:dyDescent="0.25">
      <c r="I11" s="16">
        <v>0</v>
      </c>
      <c r="J11" s="16">
        <v>0</v>
      </c>
      <c r="K11" s="16">
        <v>0</v>
      </c>
      <c r="L11" s="16">
        <v>1</v>
      </c>
      <c r="P11" s="5" t="s">
        <v>56</v>
      </c>
      <c r="Q11" s="5" t="s">
        <v>133</v>
      </c>
      <c r="R11" s="5" t="s">
        <v>131</v>
      </c>
      <c r="S11" s="6"/>
    </row>
    <row r="12" spans="2:19" x14ac:dyDescent="0.25">
      <c r="C12" s="4" t="s">
        <v>134</v>
      </c>
      <c r="I12" s="16">
        <f>'1 Task'!$C$6</f>
        <v>2</v>
      </c>
      <c r="J12" s="16">
        <f>'1 Task'!$D$6</f>
        <v>1</v>
      </c>
      <c r="K12" s="16">
        <f>'1 Task'!$E$6</f>
        <v>-3</v>
      </c>
      <c r="L12" s="16">
        <f>'1 Task'!$F$6</f>
        <v>6</v>
      </c>
      <c r="P12" s="5" t="s">
        <v>135</v>
      </c>
      <c r="Q12" s="5" t="s">
        <v>57</v>
      </c>
      <c r="R12" s="5" t="s">
        <v>136</v>
      </c>
      <c r="S12" s="6" t="s">
        <v>137</v>
      </c>
    </row>
    <row r="13" spans="2:19" x14ac:dyDescent="0.25">
      <c r="B13" s="7" t="s">
        <v>138</v>
      </c>
      <c r="C13" s="9">
        <v>1</v>
      </c>
      <c r="D13" s="9">
        <v>0</v>
      </c>
      <c r="E13" s="9">
        <v>0</v>
      </c>
      <c r="F13" s="9">
        <v>0</v>
      </c>
      <c r="G13" s="9">
        <v>0</v>
      </c>
      <c r="I13" s="10">
        <f>C13*I8+D13*I9+E13*I10+F13*I11+G13*I12</f>
        <v>1</v>
      </c>
      <c r="J13" s="10">
        <f>C13*J8+D13*J9+E13*J10+F13*J11+G13*J12</f>
        <v>0</v>
      </c>
      <c r="K13" s="10">
        <f>C13*K8+D13*K9+E13*K10+F13*K11+G13*K12</f>
        <v>0</v>
      </c>
      <c r="L13" s="10">
        <f>C13*L8+D13*L9+E13*L10+F13*L11+G13*L12</f>
        <v>0</v>
      </c>
      <c r="P13" s="5" t="s">
        <v>139</v>
      </c>
      <c r="Q13" s="5" t="s">
        <v>57</v>
      </c>
      <c r="R13" s="5" t="s">
        <v>136</v>
      </c>
      <c r="S13" s="6"/>
    </row>
    <row r="14" spans="2:19" x14ac:dyDescent="0.25">
      <c r="B14" s="7" t="s">
        <v>140</v>
      </c>
      <c r="C14" s="9">
        <v>0</v>
      </c>
      <c r="D14" s="9">
        <v>1</v>
      </c>
      <c r="E14" s="9">
        <v>0</v>
      </c>
      <c r="F14" s="9">
        <v>0</v>
      </c>
      <c r="G14" s="9">
        <v>0</v>
      </c>
      <c r="I14" s="10">
        <f>C14*I8+D14*I9+E14*I10+F14*I11+G14*I12</f>
        <v>0</v>
      </c>
      <c r="J14" s="10">
        <f>C14*J8+D14*J9+E14*J10+F14*J11+G14*J12</f>
        <v>1</v>
      </c>
      <c r="K14" s="10">
        <f>C14*K8+D14*K9+E14*K10+F14*K11+G14*K12</f>
        <v>0</v>
      </c>
      <c r="L14" s="10">
        <f>C14*L8+D14*L9+E14*L10+F14*L11+G14*L12</f>
        <v>0</v>
      </c>
      <c r="P14" s="5" t="s">
        <v>141</v>
      </c>
      <c r="Q14" s="5" t="s">
        <v>142</v>
      </c>
      <c r="R14" s="5" t="s">
        <v>136</v>
      </c>
      <c r="S14" s="6"/>
    </row>
    <row r="15" spans="2:19" x14ac:dyDescent="0.25">
      <c r="B15" s="7" t="s">
        <v>143</v>
      </c>
      <c r="C15" s="9">
        <v>0</v>
      </c>
      <c r="D15" s="9">
        <v>0</v>
      </c>
      <c r="E15" s="9">
        <v>1</v>
      </c>
      <c r="F15" s="9">
        <v>0</v>
      </c>
      <c r="G15" s="9">
        <v>0</v>
      </c>
      <c r="I15" s="10">
        <f>C15*I8+D15*I9+E15*I10+F15*I11+G15*I12</f>
        <v>0</v>
      </c>
      <c r="J15" s="10">
        <f>C15*J8+D15*J9+E15*J10+F15*J11+G15*J12</f>
        <v>0</v>
      </c>
      <c r="K15" s="10">
        <f>C15*K8+D15*K9+E15*K10+F15*K11+G15*K12</f>
        <v>1</v>
      </c>
      <c r="L15" s="10">
        <f>C15*L8+D15*L9+E15*L10+F15*L11+G15*L12</f>
        <v>0</v>
      </c>
      <c r="P15" s="5" t="s">
        <v>144</v>
      </c>
      <c r="Q15" s="5" t="s">
        <v>145</v>
      </c>
      <c r="R15" s="5" t="s">
        <v>146</v>
      </c>
      <c r="S15" s="6" t="s">
        <v>147</v>
      </c>
    </row>
    <row r="16" spans="2:19" x14ac:dyDescent="0.25">
      <c r="B16" s="7" t="s">
        <v>148</v>
      </c>
      <c r="C16" s="9">
        <v>0</v>
      </c>
      <c r="D16" s="9">
        <v>0</v>
      </c>
      <c r="E16" s="9">
        <v>0</v>
      </c>
      <c r="F16" s="9">
        <v>1</v>
      </c>
      <c r="G16" s="9">
        <v>0</v>
      </c>
      <c r="I16" s="10">
        <f>C16*I8+D16*I9+E16*I10+F16*I11+G16*I12</f>
        <v>0</v>
      </c>
      <c r="J16" s="10">
        <f>C16*J8+D16*J9+E16*J10+F16*J11+G16*J12</f>
        <v>0</v>
      </c>
      <c r="K16" s="10">
        <f>C16*K8+D16*K9+E16*K10+F16*K11+G16*K12</f>
        <v>0</v>
      </c>
      <c r="L16" s="10">
        <f>C16*L8+D16*L9+E16*L10+F16*L11+G16*L12</f>
        <v>1</v>
      </c>
      <c r="P16" s="5" t="s">
        <v>149</v>
      </c>
      <c r="Q16" s="5" t="s">
        <v>57</v>
      </c>
      <c r="R16" s="5" t="s">
        <v>146</v>
      </c>
      <c r="S16" s="6" t="s">
        <v>150</v>
      </c>
    </row>
    <row r="17" spans="2:21" x14ac:dyDescent="0.25">
      <c r="I17" s="4" t="s">
        <v>151</v>
      </c>
      <c r="P17" s="5" t="s">
        <v>152</v>
      </c>
      <c r="Q17" s="5" t="s">
        <v>142</v>
      </c>
      <c r="R17" s="5" t="s">
        <v>136</v>
      </c>
      <c r="S17" s="6" t="s">
        <v>153</v>
      </c>
    </row>
    <row r="18" spans="2:21" x14ac:dyDescent="0.25">
      <c r="P18" s="5" t="s">
        <v>154</v>
      </c>
      <c r="Q18" s="5" t="s">
        <v>155</v>
      </c>
      <c r="R18" s="5" t="s">
        <v>156</v>
      </c>
      <c r="S18" s="6" t="s">
        <v>157</v>
      </c>
    </row>
    <row r="19" spans="2:21" x14ac:dyDescent="0.25">
      <c r="B19" s="13" t="s">
        <v>158</v>
      </c>
    </row>
    <row r="20" spans="2:21" x14ac:dyDescent="0.25">
      <c r="I20" s="4" t="s">
        <v>117</v>
      </c>
    </row>
    <row r="21" spans="2:21" x14ac:dyDescent="0.25">
      <c r="I21" s="7" t="s">
        <v>118</v>
      </c>
      <c r="J21" s="7" t="s">
        <v>119</v>
      </c>
      <c r="K21" s="7" t="s">
        <v>120</v>
      </c>
      <c r="L21" s="7" t="s">
        <v>121</v>
      </c>
      <c r="P21" s="3" t="s">
        <v>159</v>
      </c>
    </row>
    <row r="22" spans="2:21" x14ac:dyDescent="0.25">
      <c r="I22" s="16">
        <v>1</v>
      </c>
      <c r="J22" s="16">
        <v>0</v>
      </c>
      <c r="K22" s="16">
        <v>0</v>
      </c>
      <c r="L22" s="16">
        <v>0</v>
      </c>
      <c r="P22" s="14" t="s">
        <v>160</v>
      </c>
      <c r="Q22" s="15"/>
      <c r="R22" s="15"/>
      <c r="S22" s="15"/>
      <c r="T22" s="15"/>
      <c r="U22" s="15"/>
    </row>
    <row r="23" spans="2:21" x14ac:dyDescent="0.25">
      <c r="I23" s="16">
        <v>0</v>
      </c>
      <c r="J23" s="16">
        <v>1</v>
      </c>
      <c r="K23" s="16">
        <v>0</v>
      </c>
      <c r="L23" s="16">
        <v>0</v>
      </c>
      <c r="P23" s="14" t="s">
        <v>161</v>
      </c>
      <c r="Q23" s="15"/>
      <c r="R23" s="15"/>
      <c r="S23" s="15"/>
      <c r="T23" s="15"/>
      <c r="U23" s="15"/>
    </row>
    <row r="24" spans="2:21" x14ac:dyDescent="0.25">
      <c r="I24" s="16">
        <v>0</v>
      </c>
      <c r="J24" s="16">
        <v>0</v>
      </c>
      <c r="K24" s="16">
        <v>1</v>
      </c>
      <c r="L24" s="16">
        <v>0</v>
      </c>
      <c r="P24" s="14" t="s">
        <v>162</v>
      </c>
      <c r="Q24" s="15"/>
      <c r="R24" s="15"/>
      <c r="S24" s="15"/>
      <c r="T24" s="15"/>
      <c r="U24" s="15"/>
    </row>
    <row r="25" spans="2:21" x14ac:dyDescent="0.25">
      <c r="I25" s="16">
        <v>0</v>
      </c>
      <c r="J25" s="16">
        <v>0</v>
      </c>
      <c r="K25" s="16">
        <v>0</v>
      </c>
      <c r="L25" s="16">
        <v>1</v>
      </c>
      <c r="P25" s="14" t="s">
        <v>163</v>
      </c>
      <c r="Q25" s="15"/>
      <c r="R25" s="15"/>
      <c r="S25" s="15"/>
      <c r="T25" s="15"/>
      <c r="U25" s="15"/>
    </row>
    <row r="26" spans="2:21" x14ac:dyDescent="0.25">
      <c r="C26" s="4" t="s">
        <v>164</v>
      </c>
      <c r="I26" s="16">
        <f>'1 Task'!$C$6</f>
        <v>2</v>
      </c>
      <c r="J26" s="16">
        <f>'1 Task'!$D$6</f>
        <v>1</v>
      </c>
      <c r="K26" s="16">
        <f>'1 Task'!$E$6</f>
        <v>-3</v>
      </c>
      <c r="L26" s="16">
        <f>'1 Task'!$F$6</f>
        <v>6</v>
      </c>
      <c r="P26" s="14" t="s">
        <v>165</v>
      </c>
      <c r="Q26" s="15"/>
      <c r="R26" s="15"/>
      <c r="S26" s="15"/>
      <c r="T26" s="15"/>
      <c r="U26" s="15"/>
    </row>
    <row r="27" spans="2:21" x14ac:dyDescent="0.25">
      <c r="B27" s="7" t="s">
        <v>166</v>
      </c>
      <c r="C27" s="9">
        <v>0</v>
      </c>
      <c r="D27" s="9">
        <v>0</v>
      </c>
      <c r="E27" s="9">
        <v>0</v>
      </c>
      <c r="F27" s="9">
        <v>0</v>
      </c>
      <c r="G27" s="9">
        <v>1</v>
      </c>
      <c r="I27" s="10">
        <f>C27*I22+D27*I23+E27*I24+F27*I25+G27*I26</f>
        <v>2</v>
      </c>
      <c r="J27" s="10">
        <f>C27*J22+D27*J23+E27*J24+F27*J25+G27*J26</f>
        <v>1</v>
      </c>
      <c r="K27" s="10">
        <f>C27*K22+D27*K23+E27*K24+F27*K25+G27*K26</f>
        <v>-3</v>
      </c>
      <c r="L27" s="10">
        <f>C27*L22+D27*L23+E27*L24+F27*L25+G27*L26</f>
        <v>6</v>
      </c>
      <c r="P27" s="14" t="s">
        <v>167</v>
      </c>
      <c r="Q27" s="15"/>
      <c r="R27" s="15"/>
      <c r="S27" s="15"/>
      <c r="T27" s="15"/>
      <c r="U27" s="15"/>
    </row>
    <row r="28" spans="2:21" x14ac:dyDescent="0.25">
      <c r="I28" s="4" t="s">
        <v>141</v>
      </c>
      <c r="P28" s="14" t="s">
        <v>168</v>
      </c>
      <c r="Q28" s="15"/>
      <c r="R28" s="15"/>
      <c r="S28" s="15"/>
      <c r="T28" s="15"/>
      <c r="U28" s="15"/>
    </row>
    <row r="29" spans="2:21" x14ac:dyDescent="0.25">
      <c r="P29" s="14" t="s">
        <v>169</v>
      </c>
      <c r="Q29" s="15"/>
      <c r="R29" s="15"/>
      <c r="S29" s="15"/>
      <c r="T29" s="15"/>
      <c r="U29" s="15"/>
    </row>
    <row r="30" spans="2:21" x14ac:dyDescent="0.25">
      <c r="B30" s="13" t="s">
        <v>170</v>
      </c>
      <c r="P30" s="14" t="s">
        <v>171</v>
      </c>
      <c r="Q30" s="15"/>
      <c r="R30" s="15"/>
      <c r="S30" s="15"/>
      <c r="T30" s="15"/>
      <c r="U30" s="15"/>
    </row>
    <row r="31" spans="2:21" x14ac:dyDescent="0.25">
      <c r="H31" s="4" t="s">
        <v>172</v>
      </c>
      <c r="P31" s="14" t="s">
        <v>173</v>
      </c>
      <c r="Q31" s="15"/>
      <c r="R31" s="15"/>
      <c r="S31" s="15"/>
      <c r="T31" s="15"/>
      <c r="U31" s="15"/>
    </row>
    <row r="32" spans="2:21" x14ac:dyDescent="0.25">
      <c r="H32" s="7" t="s">
        <v>174</v>
      </c>
      <c r="I32" s="7" t="s">
        <v>175</v>
      </c>
      <c r="J32" s="7" t="s">
        <v>176</v>
      </c>
      <c r="K32" s="7" t="s">
        <v>177</v>
      </c>
      <c r="P32" s="14" t="s">
        <v>178</v>
      </c>
      <c r="Q32" s="15"/>
      <c r="R32" s="15"/>
      <c r="S32" s="15"/>
      <c r="T32" s="15"/>
      <c r="U32" s="15"/>
    </row>
    <row r="33" spans="2:21" x14ac:dyDescent="0.25">
      <c r="H33" s="16">
        <f>IF('1 Task'!$C$10=0,1,0)</f>
        <v>0</v>
      </c>
      <c r="I33" s="16">
        <f>IF('1 Task'!$C$11=0,1,0)</f>
        <v>1</v>
      </c>
      <c r="J33" s="16">
        <f>IF('1 Task'!$C$12=0,1,0)</f>
        <v>0</v>
      </c>
      <c r="K33" s="16">
        <f>IF('1 Task'!$C$13=0,1,0)</f>
        <v>0</v>
      </c>
      <c r="P33" s="14"/>
      <c r="Q33" s="15"/>
      <c r="R33" s="15"/>
      <c r="S33" s="15"/>
      <c r="T33" s="15"/>
      <c r="U33" s="15"/>
    </row>
    <row r="34" spans="2:21" x14ac:dyDescent="0.25">
      <c r="H34" s="16">
        <f>IF('1 Task'!$C$10=1,1,0)</f>
        <v>0</v>
      </c>
      <c r="I34" s="16">
        <f>IF('1 Task'!$C$11=1,1,0)</f>
        <v>0</v>
      </c>
      <c r="J34" s="16">
        <f>IF('1 Task'!$C$12=1,1,0)</f>
        <v>0</v>
      </c>
      <c r="K34" s="16">
        <f>IF('1 Task'!$C$13=1,1,0)</f>
        <v>1</v>
      </c>
      <c r="P34" s="14" t="s">
        <v>179</v>
      </c>
      <c r="Q34" s="15"/>
      <c r="R34" s="15"/>
      <c r="S34" s="15"/>
      <c r="T34" s="15"/>
      <c r="U34" s="15"/>
    </row>
    <row r="35" spans="2:21" x14ac:dyDescent="0.25">
      <c r="H35" s="16">
        <f>IF('1 Task'!$C$10=2,1,0)</f>
        <v>1</v>
      </c>
      <c r="I35" s="16">
        <f>IF('1 Task'!$C$11=2,1,0)</f>
        <v>0</v>
      </c>
      <c r="J35" s="16">
        <f>IF('1 Task'!$C$12=2,1,0)</f>
        <v>0</v>
      </c>
      <c r="K35" s="16">
        <f>IF('1 Task'!$C$13=2,1,0)</f>
        <v>0</v>
      </c>
      <c r="P35" s="14" t="s">
        <v>180</v>
      </c>
      <c r="Q35" s="15"/>
      <c r="R35" s="15"/>
      <c r="S35" s="15"/>
      <c r="T35" s="15"/>
      <c r="U35" s="15"/>
    </row>
    <row r="36" spans="2:21" x14ac:dyDescent="0.25">
      <c r="C36" s="4" t="s">
        <v>181</v>
      </c>
      <c r="H36" s="16">
        <f>IF('1 Task'!$C$10=3,1,0)</f>
        <v>0</v>
      </c>
      <c r="I36" s="16">
        <f>IF('1 Task'!$C$11=3,1,0)</f>
        <v>0</v>
      </c>
      <c r="J36" s="16">
        <f>IF('1 Task'!$C$12=3,1,0)</f>
        <v>1</v>
      </c>
      <c r="K36" s="16">
        <f>IF('1 Task'!$C$13=3,1,0)</f>
        <v>0</v>
      </c>
      <c r="P36" s="14" t="s">
        <v>182</v>
      </c>
      <c r="Q36" s="15"/>
      <c r="R36" s="15"/>
      <c r="S36" s="15"/>
      <c r="T36" s="15"/>
      <c r="U36" s="15"/>
    </row>
    <row r="37" spans="2:21" x14ac:dyDescent="0.25">
      <c r="B37" s="7" t="s">
        <v>183</v>
      </c>
      <c r="C37" s="9">
        <v>0</v>
      </c>
      <c r="D37" s="9">
        <v>0</v>
      </c>
      <c r="E37" s="9">
        <v>0</v>
      </c>
      <c r="F37" s="9">
        <v>1</v>
      </c>
      <c r="H37" s="10">
        <f>C37*H33+D37*H34+E37*H35+F37*H36</f>
        <v>0</v>
      </c>
      <c r="I37" s="10">
        <f>C37*I33+D37*I34+E37*I35+F37*I36</f>
        <v>0</v>
      </c>
      <c r="J37" s="10">
        <f>C37*J33+D37*J34+E37*J35+F37*J36</f>
        <v>1</v>
      </c>
      <c r="K37" s="10">
        <f>C37*K33+D37*K34+E37*K35+F37*K36</f>
        <v>0</v>
      </c>
      <c r="P37" s="14"/>
      <c r="Q37" s="15"/>
      <c r="R37" s="15"/>
      <c r="S37" s="15"/>
      <c r="T37" s="15"/>
      <c r="U37" s="15"/>
    </row>
    <row r="38" spans="2:21" x14ac:dyDescent="0.25">
      <c r="B38" s="7" t="s">
        <v>184</v>
      </c>
      <c r="C38" s="9">
        <v>1</v>
      </c>
      <c r="D38" s="9">
        <v>0</v>
      </c>
      <c r="E38" s="9">
        <v>0</v>
      </c>
      <c r="F38" s="9">
        <v>0</v>
      </c>
      <c r="H38" s="10">
        <f>C38*H33+D38*H34+E38*H35+F38*H36</f>
        <v>0</v>
      </c>
      <c r="I38" s="10">
        <f>C38*I33+D38*I34+E38*I35+F38*I36</f>
        <v>1</v>
      </c>
      <c r="J38" s="10">
        <f>C38*J33+D38*J34+E38*J35+F38*J36</f>
        <v>0</v>
      </c>
      <c r="K38" s="10">
        <f>C38*K33+D38*K34+E38*K35+F38*K36</f>
        <v>0</v>
      </c>
      <c r="P38" s="14" t="s">
        <v>185</v>
      </c>
      <c r="Q38" s="15"/>
      <c r="R38" s="15"/>
      <c r="S38" s="15"/>
      <c r="T38" s="15"/>
      <c r="U38" s="15"/>
    </row>
    <row r="39" spans="2:21" x14ac:dyDescent="0.25">
      <c r="B39" s="7" t="s">
        <v>186</v>
      </c>
      <c r="C39" s="9">
        <v>0</v>
      </c>
      <c r="D39" s="9">
        <v>1</v>
      </c>
      <c r="E39" s="9">
        <v>0</v>
      </c>
      <c r="F39" s="9">
        <v>0</v>
      </c>
      <c r="H39" s="10">
        <f>C39*H33+D39*H34+E39*H35+F39*H36</f>
        <v>0</v>
      </c>
      <c r="I39" s="10">
        <f>C39*I33+D39*I34+E39*I35+F39*I36</f>
        <v>0</v>
      </c>
      <c r="J39" s="10">
        <f>C39*J33+D39*J34+E39*J35+F39*J36</f>
        <v>0</v>
      </c>
      <c r="K39" s="10">
        <f>C39*K33+D39*K34+E39*K35+F39*K36</f>
        <v>1</v>
      </c>
      <c r="P39" s="14" t="s">
        <v>187</v>
      </c>
      <c r="Q39" s="15"/>
      <c r="R39" s="15"/>
      <c r="S39" s="15"/>
      <c r="T39" s="15"/>
      <c r="U39" s="15"/>
    </row>
    <row r="40" spans="2:21" x14ac:dyDescent="0.25">
      <c r="B40" s="7" t="s">
        <v>188</v>
      </c>
      <c r="C40" s="9">
        <v>0</v>
      </c>
      <c r="D40" s="9">
        <v>0</v>
      </c>
      <c r="E40" s="9">
        <v>1</v>
      </c>
      <c r="F40" s="9">
        <v>0</v>
      </c>
      <c r="H40" s="10">
        <f>C40*H33+D40*H34+E40*H35+F40*H36</f>
        <v>1</v>
      </c>
      <c r="I40" s="10">
        <f>C40*I33+D40*I34+E40*I35+F40*I36</f>
        <v>0</v>
      </c>
      <c r="J40" s="10">
        <f>C40*J33+D40*J34+E40*J35+F40*J36</f>
        <v>0</v>
      </c>
      <c r="K40" s="10">
        <f>C40*K33+D40*K34+E40*K35+F40*K36</f>
        <v>0</v>
      </c>
      <c r="P40" s="14" t="s">
        <v>189</v>
      </c>
      <c r="Q40" s="15"/>
      <c r="R40" s="15"/>
      <c r="S40" s="15"/>
      <c r="T40" s="15"/>
      <c r="U40" s="15"/>
    </row>
    <row r="41" spans="2:21" x14ac:dyDescent="0.25">
      <c r="H41" s="4" t="s">
        <v>190</v>
      </c>
      <c r="P41" s="14" t="s">
        <v>191</v>
      </c>
      <c r="Q41" s="15"/>
      <c r="R41" s="15"/>
      <c r="S41" s="15"/>
      <c r="T41" s="15"/>
      <c r="U41" s="15"/>
    </row>
    <row r="42" spans="2:21" x14ac:dyDescent="0.25">
      <c r="P42" s="14" t="s">
        <v>192</v>
      </c>
      <c r="Q42" s="15"/>
      <c r="R42" s="15"/>
      <c r="S42" s="15"/>
      <c r="T42" s="15"/>
      <c r="U42" s="15"/>
    </row>
    <row r="43" spans="2:21" x14ac:dyDescent="0.25">
      <c r="B43" s="13" t="s">
        <v>193</v>
      </c>
      <c r="P43" s="14" t="s">
        <v>194</v>
      </c>
      <c r="Q43" s="15"/>
      <c r="R43" s="15"/>
      <c r="S43" s="15"/>
      <c r="T43" s="15"/>
      <c r="U43" s="15"/>
    </row>
    <row r="44" spans="2:21" x14ac:dyDescent="0.25">
      <c r="H44" s="4" t="s">
        <v>195</v>
      </c>
      <c r="P44" s="14" t="s">
        <v>196</v>
      </c>
      <c r="Q44" s="15"/>
      <c r="R44" s="15"/>
      <c r="S44" s="15"/>
      <c r="T44" s="15"/>
      <c r="U44" s="15"/>
    </row>
    <row r="45" spans="2:21" x14ac:dyDescent="0.25">
      <c r="H45" s="7" t="s">
        <v>174</v>
      </c>
      <c r="I45" s="7" t="s">
        <v>175</v>
      </c>
      <c r="J45" s="7" t="s">
        <v>176</v>
      </c>
      <c r="K45" s="7" t="s">
        <v>177</v>
      </c>
    </row>
    <row r="46" spans="2:21" x14ac:dyDescent="0.25">
      <c r="H46" s="16">
        <f t="shared" ref="H46:K49" si="0">H37</f>
        <v>0</v>
      </c>
      <c r="I46" s="16">
        <f t="shared" si="0"/>
        <v>0</v>
      </c>
      <c r="J46" s="16">
        <f t="shared" si="0"/>
        <v>1</v>
      </c>
      <c r="K46" s="16">
        <f t="shared" si="0"/>
        <v>0</v>
      </c>
    </row>
    <row r="47" spans="2:21" x14ac:dyDescent="0.25">
      <c r="H47" s="16">
        <f t="shared" si="0"/>
        <v>0</v>
      </c>
      <c r="I47" s="16">
        <f t="shared" si="0"/>
        <v>1</v>
      </c>
      <c r="J47" s="16">
        <f t="shared" si="0"/>
        <v>0</v>
      </c>
      <c r="K47" s="16">
        <f t="shared" si="0"/>
        <v>0</v>
      </c>
    </row>
    <row r="48" spans="2:21" x14ac:dyDescent="0.25">
      <c r="H48" s="16">
        <f t="shared" si="0"/>
        <v>0</v>
      </c>
      <c r="I48" s="16">
        <f t="shared" si="0"/>
        <v>0</v>
      </c>
      <c r="J48" s="16">
        <f t="shared" si="0"/>
        <v>0</v>
      </c>
      <c r="K48" s="16">
        <f t="shared" si="0"/>
        <v>1</v>
      </c>
    </row>
    <row r="49" spans="2:11" x14ac:dyDescent="0.25">
      <c r="C49" s="4" t="s">
        <v>197</v>
      </c>
      <c r="H49" s="16">
        <f t="shared" si="0"/>
        <v>1</v>
      </c>
      <c r="I49" s="16">
        <f t="shared" si="0"/>
        <v>0</v>
      </c>
      <c r="J49" s="16">
        <f t="shared" si="0"/>
        <v>0</v>
      </c>
      <c r="K49" s="16">
        <f t="shared" si="0"/>
        <v>0</v>
      </c>
    </row>
    <row r="50" spans="2:11" x14ac:dyDescent="0.25">
      <c r="B50" s="7" t="s">
        <v>118</v>
      </c>
      <c r="C50" s="17">
        <f>I13</f>
        <v>1</v>
      </c>
      <c r="D50" s="17">
        <f>I14</f>
        <v>0</v>
      </c>
      <c r="E50" s="17">
        <f>I15</f>
        <v>0</v>
      </c>
      <c r="F50" s="17">
        <f>I16</f>
        <v>0</v>
      </c>
      <c r="H50" s="10">
        <f>C50*H46+D50*H47+E50*H48+F50*H49</f>
        <v>0</v>
      </c>
      <c r="I50" s="10">
        <f>C50*I46+D50*I47+E50*I48+F50*I49</f>
        <v>0</v>
      </c>
      <c r="J50" s="10">
        <f>C50*J46+D50*J47+E50*J48+F50*J49</f>
        <v>1</v>
      </c>
      <c r="K50" s="10">
        <f>C50*K46+D50*K47+E50*K48+F50*K49</f>
        <v>0</v>
      </c>
    </row>
    <row r="51" spans="2:11" x14ac:dyDescent="0.25">
      <c r="B51" s="7" t="s">
        <v>119</v>
      </c>
      <c r="C51" s="17">
        <f>J13</f>
        <v>0</v>
      </c>
      <c r="D51" s="17">
        <f>J14</f>
        <v>1</v>
      </c>
      <c r="E51" s="17">
        <f>J15</f>
        <v>0</v>
      </c>
      <c r="F51" s="17">
        <f>J16</f>
        <v>0</v>
      </c>
      <c r="H51" s="10">
        <f>C51*H46+D51*H47+E51*H48+F51*H49</f>
        <v>0</v>
      </c>
      <c r="I51" s="10">
        <f>C51*I46+D51*I47+E51*I48+F51*I49</f>
        <v>1</v>
      </c>
      <c r="J51" s="10">
        <f>C51*J46+D51*J47+E51*J48+F51*J49</f>
        <v>0</v>
      </c>
      <c r="K51" s="10">
        <f>C51*K46+D51*K47+E51*K48+F51*K49</f>
        <v>0</v>
      </c>
    </row>
    <row r="52" spans="2:11" x14ac:dyDescent="0.25">
      <c r="B52" s="7" t="s">
        <v>120</v>
      </c>
      <c r="C52" s="17">
        <f>K13</f>
        <v>0</v>
      </c>
      <c r="D52" s="17">
        <f>K14</f>
        <v>0</v>
      </c>
      <c r="E52" s="17">
        <f>K15</f>
        <v>1</v>
      </c>
      <c r="F52" s="17">
        <f>K16</f>
        <v>0</v>
      </c>
      <c r="H52" s="10">
        <f>C52*H46+D52*H47+E52*H48+F52*H49</f>
        <v>0</v>
      </c>
      <c r="I52" s="10">
        <f>C52*I46+D52*I47+E52*I48+F52*I49</f>
        <v>0</v>
      </c>
      <c r="J52" s="10">
        <f>C52*J46+D52*J47+E52*J48+F52*J49</f>
        <v>0</v>
      </c>
      <c r="K52" s="10">
        <f>C52*K46+D52*K47+E52*K48+F52*K49</f>
        <v>1</v>
      </c>
    </row>
    <row r="53" spans="2:11" x14ac:dyDescent="0.25">
      <c r="B53" s="7" t="s">
        <v>121</v>
      </c>
      <c r="C53" s="17">
        <f>L13</f>
        <v>0</v>
      </c>
      <c r="D53" s="17">
        <f>L14</f>
        <v>0</v>
      </c>
      <c r="E53" s="17">
        <f>L15</f>
        <v>0</v>
      </c>
      <c r="F53" s="17">
        <f>L16</f>
        <v>1</v>
      </c>
      <c r="H53" s="10">
        <f>C53*H46+D53*H47+E53*H48+F53*H49</f>
        <v>1</v>
      </c>
      <c r="I53" s="10">
        <f>C53*I46+D53*I47+E53*I48+F53*I49</f>
        <v>0</v>
      </c>
      <c r="J53" s="10">
        <f>C53*J46+D53*J47+E53*J48+F53*J49</f>
        <v>0</v>
      </c>
      <c r="K53" s="10">
        <f>C53*K46+D53*K47+E53*K48+F53*K49</f>
        <v>0</v>
      </c>
    </row>
    <row r="54" spans="2:11" x14ac:dyDescent="0.25">
      <c r="H54" s="4" t="s">
        <v>144</v>
      </c>
    </row>
    <row r="56" spans="2:11" x14ac:dyDescent="0.25">
      <c r="B56" s="13" t="s">
        <v>198</v>
      </c>
    </row>
    <row r="57" spans="2:11" x14ac:dyDescent="0.25">
      <c r="C57" s="2" t="s">
        <v>154</v>
      </c>
      <c r="D57" s="12">
        <v>10</v>
      </c>
    </row>
    <row r="58" spans="2:11" x14ac:dyDescent="0.25">
      <c r="B58" s="4" t="s">
        <v>149</v>
      </c>
      <c r="D58" s="7" t="s">
        <v>174</v>
      </c>
      <c r="E58" s="7" t="s">
        <v>175</v>
      </c>
      <c r="F58" s="7" t="s">
        <v>176</v>
      </c>
      <c r="G58" s="7" t="s">
        <v>177</v>
      </c>
    </row>
    <row r="59" spans="2:11" x14ac:dyDescent="0.25">
      <c r="C59" s="7" t="s">
        <v>118</v>
      </c>
      <c r="D59" s="18">
        <f>EXP($D$57*H50)/(EXP($D$57*H50)+EXP($D$57*H51)+EXP($D$57*H52)+EXP($D$57*H53))</f>
        <v>4.5393747143688908E-5</v>
      </c>
      <c r="E59" s="18">
        <f>EXP($D$57*I50)/(EXP($D$57*I50)+EXP($D$57*I51)+EXP($D$57*I52)+EXP($D$57*I53))</f>
        <v>4.5393747143688908E-5</v>
      </c>
      <c r="F59" s="18">
        <f>EXP($D$57*J50)/(EXP($D$57*J50)+EXP($D$57*J51)+EXP($D$57*J52)+EXP($D$57*J53))</f>
        <v>0.99986381875856889</v>
      </c>
      <c r="G59" s="18">
        <f>EXP($D$57*K50)/(EXP($D$57*K50)+EXP($D$57*K51)+EXP($D$57*K52)+EXP($D$57*K53))</f>
        <v>4.5393747143688908E-5</v>
      </c>
    </row>
    <row r="60" spans="2:11" x14ac:dyDescent="0.25">
      <c r="C60" s="7" t="s">
        <v>119</v>
      </c>
      <c r="D60" s="18">
        <f>EXP($D$57*H51)/(EXP($D$57*H50)+EXP($D$57*H51)+EXP($D$57*H52)+EXP($D$57*H53))</f>
        <v>4.5393747143688908E-5</v>
      </c>
      <c r="E60" s="18">
        <f>EXP($D$57*I51)/(EXP($D$57*I50)+EXP($D$57*I51)+EXP($D$57*I52)+EXP($D$57*I53))</f>
        <v>0.99986381875856889</v>
      </c>
      <c r="F60" s="18">
        <f>EXP($D$57*J51)/(EXP($D$57*J50)+EXP($D$57*J51)+EXP($D$57*J52)+EXP($D$57*J53))</f>
        <v>4.5393747143688908E-5</v>
      </c>
      <c r="G60" s="18">
        <f>EXP($D$57*K51)/(EXP($D$57*K50)+EXP($D$57*K51)+EXP($D$57*K52)+EXP($D$57*K53))</f>
        <v>4.5393747143688908E-5</v>
      </c>
    </row>
    <row r="61" spans="2:11" x14ac:dyDescent="0.25">
      <c r="C61" s="7" t="s">
        <v>120</v>
      </c>
      <c r="D61" s="18">
        <f>EXP($D$57*H52)/(EXP($D$57*H50)+EXP($D$57*H51)+EXP($D$57*H52)+EXP($D$57*H53))</f>
        <v>4.5393747143688908E-5</v>
      </c>
      <c r="E61" s="18">
        <f>EXP($D$57*I52)/(EXP($D$57*I50)+EXP($D$57*I51)+EXP($D$57*I52)+EXP($D$57*I53))</f>
        <v>4.5393747143688908E-5</v>
      </c>
      <c r="F61" s="18">
        <f>EXP($D$57*J52)/(EXP($D$57*J50)+EXP($D$57*J51)+EXP($D$57*J52)+EXP($D$57*J53))</f>
        <v>4.5393747143688908E-5</v>
      </c>
      <c r="G61" s="18">
        <f>EXP($D$57*K52)/(EXP($D$57*K50)+EXP($D$57*K51)+EXP($D$57*K52)+EXP($D$57*K53))</f>
        <v>0.99986381875856889</v>
      </c>
    </row>
    <row r="62" spans="2:11" x14ac:dyDescent="0.25">
      <c r="C62" s="7" t="s">
        <v>121</v>
      </c>
      <c r="D62" s="18">
        <f>EXP($D$57*H53)/(EXP($D$57*H50)+EXP($D$57*H51)+EXP($D$57*H52)+EXP($D$57*H53))</f>
        <v>0.99986381875856889</v>
      </c>
      <c r="E62" s="18">
        <f>EXP($D$57*I53)/(EXP($D$57*I50)+EXP($D$57*I51)+EXP($D$57*I52)+EXP($D$57*I53))</f>
        <v>4.5393747143688908E-5</v>
      </c>
      <c r="F62" s="18">
        <f>EXP($D$57*J53)/(EXP($D$57*J50)+EXP($D$57*J51)+EXP($D$57*J52)+EXP($D$57*J53))</f>
        <v>4.5393747143688908E-5</v>
      </c>
      <c r="G62" s="18">
        <f>EXP($D$57*K53)/(EXP($D$57*K50)+EXP($D$57*K51)+EXP($D$57*K52)+EXP($D$57*K53))</f>
        <v>4.5393747143688908E-5</v>
      </c>
    </row>
    <row r="63" spans="2:11" x14ac:dyDescent="0.25">
      <c r="C63" s="7" t="s">
        <v>199</v>
      </c>
      <c r="D63" s="18">
        <f>SUM(D59:D62)</f>
        <v>1</v>
      </c>
      <c r="E63" s="18">
        <f>SUM(E59:E62)</f>
        <v>1</v>
      </c>
      <c r="F63" s="18">
        <f>SUM(F59:F62)</f>
        <v>1</v>
      </c>
      <c r="G63" s="18">
        <f>SUM(G59:G62)</f>
        <v>1</v>
      </c>
    </row>
    <row r="65" spans="2:12" x14ac:dyDescent="0.25">
      <c r="B65" s="13" t="s">
        <v>200</v>
      </c>
    </row>
    <row r="66" spans="2:12" x14ac:dyDescent="0.25">
      <c r="H66" s="4" t="s">
        <v>201</v>
      </c>
    </row>
    <row r="67" spans="2:12" x14ac:dyDescent="0.25">
      <c r="H67" s="7" t="s">
        <v>174</v>
      </c>
      <c r="I67" s="7" t="s">
        <v>175</v>
      </c>
      <c r="J67" s="7" t="s">
        <v>176</v>
      </c>
      <c r="K67" s="7" t="s">
        <v>177</v>
      </c>
    </row>
    <row r="68" spans="2:12" x14ac:dyDescent="0.25">
      <c r="H68" s="19">
        <f t="shared" ref="H68:K71" si="1">D59</f>
        <v>4.5393747143688908E-5</v>
      </c>
      <c r="I68" s="19">
        <f t="shared" si="1"/>
        <v>4.5393747143688908E-5</v>
      </c>
      <c r="J68" s="19">
        <f t="shared" si="1"/>
        <v>0.99986381875856889</v>
      </c>
      <c r="K68" s="19">
        <f t="shared" si="1"/>
        <v>4.5393747143688908E-5</v>
      </c>
    </row>
    <row r="69" spans="2:12" x14ac:dyDescent="0.25">
      <c r="H69" s="19">
        <f t="shared" si="1"/>
        <v>4.5393747143688908E-5</v>
      </c>
      <c r="I69" s="19">
        <f t="shared" si="1"/>
        <v>0.99986381875856889</v>
      </c>
      <c r="J69" s="19">
        <f t="shared" si="1"/>
        <v>4.5393747143688908E-5</v>
      </c>
      <c r="K69" s="19">
        <f t="shared" si="1"/>
        <v>4.5393747143688908E-5</v>
      </c>
    </row>
    <row r="70" spans="2:12" x14ac:dyDescent="0.25">
      <c r="H70" s="19">
        <f t="shared" si="1"/>
        <v>4.5393747143688908E-5</v>
      </c>
      <c r="I70" s="19">
        <f t="shared" si="1"/>
        <v>4.5393747143688908E-5</v>
      </c>
      <c r="J70" s="19">
        <f t="shared" si="1"/>
        <v>4.5393747143688908E-5</v>
      </c>
      <c r="K70" s="19">
        <f t="shared" si="1"/>
        <v>0.99986381875856889</v>
      </c>
    </row>
    <row r="71" spans="2:12" x14ac:dyDescent="0.25">
      <c r="C71" s="4" t="s">
        <v>202</v>
      </c>
      <c r="H71" s="19">
        <f t="shared" si="1"/>
        <v>0.99986381875856889</v>
      </c>
      <c r="I71" s="19">
        <f t="shared" si="1"/>
        <v>4.5393747143688908E-5</v>
      </c>
      <c r="J71" s="19">
        <f t="shared" si="1"/>
        <v>4.5393747143688908E-5</v>
      </c>
      <c r="K71" s="19">
        <f t="shared" si="1"/>
        <v>4.5393747143688908E-5</v>
      </c>
    </row>
    <row r="72" spans="2:12" x14ac:dyDescent="0.25">
      <c r="B72" s="7" t="s">
        <v>203</v>
      </c>
      <c r="C72" s="17">
        <f>I27</f>
        <v>2</v>
      </c>
      <c r="D72" s="17">
        <f>J27</f>
        <v>1</v>
      </c>
      <c r="E72" s="17">
        <f>K27</f>
        <v>-3</v>
      </c>
      <c r="F72" s="17">
        <f>L27</f>
        <v>6</v>
      </c>
      <c r="H72" s="20">
        <f>C72*H68+D72*H69+E72*H70+F72*H71</f>
        <v>5.9991829125514133</v>
      </c>
      <c r="I72" s="20">
        <f>C72*I68+D72*I69+E72*I70+F72*I71</f>
        <v>1.0000907874942873</v>
      </c>
      <c r="J72" s="20">
        <f>C72*J68+D72*J69+E72*J70+F72*J71</f>
        <v>1.9999092125057125</v>
      </c>
      <c r="K72" s="20">
        <f>C72*K68+D72*K69+E72*K70+F72*K71</f>
        <v>-2.9991829125514133</v>
      </c>
      <c r="L72" s="4" t="s">
        <v>204</v>
      </c>
    </row>
    <row r="73" spans="2:12" x14ac:dyDescent="0.25">
      <c r="B73" s="4" t="s">
        <v>205</v>
      </c>
      <c r="H73" s="11">
        <f>'1 Task'!$F$10</f>
        <v>6</v>
      </c>
      <c r="I73" s="11">
        <f>'1 Task'!$F$11</f>
        <v>1</v>
      </c>
      <c r="J73" s="11">
        <f>'1 Task'!$F$12</f>
        <v>2</v>
      </c>
      <c r="K73" s="11">
        <f>'1 Task'!$F$13</f>
        <v>-3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94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206</v>
      </c>
    </row>
    <row r="2" spans="2:21" x14ac:dyDescent="0.25">
      <c r="B2" s="2" t="s">
        <v>207</v>
      </c>
    </row>
    <row r="4" spans="2:21" x14ac:dyDescent="0.25">
      <c r="B4" s="13" t="s">
        <v>116</v>
      </c>
    </row>
    <row r="5" spans="2:21" x14ac:dyDescent="0.25">
      <c r="I5" s="4" t="s">
        <v>117</v>
      </c>
      <c r="P5" s="3" t="s">
        <v>3</v>
      </c>
    </row>
    <row r="6" spans="2:21" x14ac:dyDescent="0.25">
      <c r="I6" s="7" t="s">
        <v>118</v>
      </c>
      <c r="J6" s="7" t="s">
        <v>119</v>
      </c>
      <c r="K6" s="7" t="s">
        <v>120</v>
      </c>
      <c r="L6" s="7" t="s">
        <v>121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I7" s="16">
        <v>1</v>
      </c>
      <c r="J7" s="16">
        <v>0</v>
      </c>
      <c r="K7" s="16">
        <v>0</v>
      </c>
      <c r="L7" s="16">
        <v>0</v>
      </c>
      <c r="P7" s="5" t="s">
        <v>208</v>
      </c>
      <c r="Q7" s="5" t="s">
        <v>34</v>
      </c>
      <c r="R7" s="5" t="s">
        <v>27</v>
      </c>
      <c r="S7" s="6"/>
    </row>
    <row r="8" spans="2:21" x14ac:dyDescent="0.25">
      <c r="I8" s="16">
        <v>0</v>
      </c>
      <c r="J8" s="16">
        <v>1</v>
      </c>
      <c r="K8" s="16">
        <v>0</v>
      </c>
      <c r="L8" s="16">
        <v>0</v>
      </c>
      <c r="P8" s="5" t="s">
        <v>209</v>
      </c>
      <c r="Q8" s="5" t="s">
        <v>210</v>
      </c>
      <c r="R8" s="5" t="s">
        <v>211</v>
      </c>
      <c r="S8" s="6" t="s">
        <v>212</v>
      </c>
    </row>
    <row r="9" spans="2:21" x14ac:dyDescent="0.25">
      <c r="I9" s="16">
        <v>0</v>
      </c>
      <c r="J9" s="16">
        <v>0</v>
      </c>
      <c r="K9" s="16">
        <v>1</v>
      </c>
      <c r="L9" s="16">
        <v>0</v>
      </c>
      <c r="P9" s="5" t="s">
        <v>213</v>
      </c>
      <c r="Q9" s="5" t="s">
        <v>214</v>
      </c>
      <c r="R9" s="5" t="s">
        <v>215</v>
      </c>
      <c r="S9" s="6" t="s">
        <v>216</v>
      </c>
    </row>
    <row r="10" spans="2:21" x14ac:dyDescent="0.25">
      <c r="I10" s="16">
        <v>0</v>
      </c>
      <c r="J10" s="16">
        <v>0</v>
      </c>
      <c r="K10" s="16">
        <v>0</v>
      </c>
      <c r="L10" s="16">
        <v>1</v>
      </c>
      <c r="P10" s="5" t="s">
        <v>217</v>
      </c>
      <c r="Q10" s="5" t="s">
        <v>218</v>
      </c>
      <c r="R10" s="5" t="s">
        <v>219</v>
      </c>
      <c r="S10" s="6" t="s">
        <v>220</v>
      </c>
    </row>
    <row r="11" spans="2:21" x14ac:dyDescent="0.25">
      <c r="C11" s="4" t="s">
        <v>134</v>
      </c>
      <c r="I11" s="16">
        <f>'1 Task'!$C$6</f>
        <v>2</v>
      </c>
      <c r="J11" s="16">
        <f>'1 Task'!$D$6</f>
        <v>1</v>
      </c>
      <c r="K11" s="16">
        <f>'1 Task'!$E$6</f>
        <v>-3</v>
      </c>
      <c r="L11" s="16">
        <f>'1 Task'!$F$6</f>
        <v>6</v>
      </c>
      <c r="P11" s="5" t="s">
        <v>221</v>
      </c>
      <c r="Q11" s="5" t="s">
        <v>222</v>
      </c>
      <c r="R11" s="5" t="s">
        <v>223</v>
      </c>
      <c r="S11" s="6" t="s">
        <v>132</v>
      </c>
    </row>
    <row r="12" spans="2:21" x14ac:dyDescent="0.25">
      <c r="B12" s="7" t="s">
        <v>138</v>
      </c>
      <c r="C12" s="9">
        <v>1</v>
      </c>
      <c r="D12" s="9">
        <v>0</v>
      </c>
      <c r="E12" s="9">
        <v>0</v>
      </c>
      <c r="F12" s="9">
        <v>0</v>
      </c>
      <c r="G12" s="9">
        <v>0</v>
      </c>
      <c r="I12" s="10">
        <f>C12*I7+D12*I8+E12*I9+F12*I10+G12*I11</f>
        <v>1</v>
      </c>
      <c r="J12" s="10">
        <f>C12*J7+D12*J8+E12*J9+F12*J10+G12*J11</f>
        <v>0</v>
      </c>
      <c r="K12" s="10">
        <f>C12*K7+D12*K8+E12*K9+F12*K10+G12*K11</f>
        <v>0</v>
      </c>
      <c r="L12" s="10">
        <f>C12*L7+D12*L8+E12*L9+F12*L10+G12*L11</f>
        <v>0</v>
      </c>
      <c r="P12" s="5" t="s">
        <v>224</v>
      </c>
      <c r="Q12" s="5" t="s">
        <v>225</v>
      </c>
      <c r="R12" s="5" t="s">
        <v>226</v>
      </c>
      <c r="S12" s="6" t="s">
        <v>227</v>
      </c>
    </row>
    <row r="13" spans="2:21" x14ac:dyDescent="0.25">
      <c r="B13" s="7" t="s">
        <v>140</v>
      </c>
      <c r="C13" s="9">
        <v>0</v>
      </c>
      <c r="D13" s="9">
        <v>1</v>
      </c>
      <c r="E13" s="9">
        <v>0</v>
      </c>
      <c r="F13" s="9">
        <v>0</v>
      </c>
      <c r="G13" s="9">
        <v>0</v>
      </c>
      <c r="I13" s="10">
        <f>C13*I7+D13*I8+E13*I9+F13*I10+G13*I11</f>
        <v>0</v>
      </c>
      <c r="J13" s="10">
        <f>C13*J7+D13*J8+E13*J9+F13*J10+G13*J11</f>
        <v>1</v>
      </c>
      <c r="K13" s="10">
        <f>C13*K7+D13*K8+E13*K9+F13*K10+G13*K11</f>
        <v>0</v>
      </c>
      <c r="L13" s="10">
        <f>C13*L7+D13*L8+E13*L9+F13*L10+G13*L11</f>
        <v>0</v>
      </c>
    </row>
    <row r="14" spans="2:21" x14ac:dyDescent="0.25">
      <c r="B14" s="7" t="s">
        <v>143</v>
      </c>
      <c r="C14" s="9">
        <v>0</v>
      </c>
      <c r="D14" s="9">
        <v>0</v>
      </c>
      <c r="E14" s="9">
        <v>1</v>
      </c>
      <c r="F14" s="9">
        <v>0</v>
      </c>
      <c r="G14" s="9">
        <v>0</v>
      </c>
      <c r="I14" s="10">
        <f>C14*I7+D14*I8+E14*I9+F14*I10+G14*I11</f>
        <v>0</v>
      </c>
      <c r="J14" s="10">
        <f>C14*J7+D14*J8+E14*J9+F14*J10+G14*J11</f>
        <v>0</v>
      </c>
      <c r="K14" s="10">
        <f>C14*K7+D14*K8+E14*K9+F14*K10+G14*K11</f>
        <v>1</v>
      </c>
      <c r="L14" s="10">
        <f>C14*L7+D14*L8+E14*L9+F14*L10+G14*L11</f>
        <v>0</v>
      </c>
    </row>
    <row r="15" spans="2:21" x14ac:dyDescent="0.25">
      <c r="B15" s="7" t="s">
        <v>148</v>
      </c>
      <c r="C15" s="9">
        <v>0</v>
      </c>
      <c r="D15" s="9">
        <v>0</v>
      </c>
      <c r="E15" s="9">
        <v>0</v>
      </c>
      <c r="F15" s="9">
        <v>1</v>
      </c>
      <c r="G15" s="9">
        <v>0</v>
      </c>
      <c r="I15" s="10">
        <f>C15*I7+D15*I8+E15*I9+F15*I10+G15*I11</f>
        <v>0</v>
      </c>
      <c r="J15" s="10">
        <f>C15*J7+D15*J8+E15*J9+F15*J10+G15*J11</f>
        <v>0</v>
      </c>
      <c r="K15" s="10">
        <f>C15*K7+D15*K8+E15*K9+F15*K10+G15*K11</f>
        <v>0</v>
      </c>
      <c r="L15" s="10">
        <f>C15*L7+D15*L8+E15*L9+F15*L10+G15*L11</f>
        <v>1</v>
      </c>
      <c r="P15" s="3" t="s">
        <v>228</v>
      </c>
    </row>
    <row r="16" spans="2:21" x14ac:dyDescent="0.25">
      <c r="I16" s="4" t="s">
        <v>151</v>
      </c>
      <c r="P16" s="14" t="s">
        <v>229</v>
      </c>
      <c r="Q16" s="15"/>
      <c r="R16" s="15"/>
      <c r="S16" s="15"/>
      <c r="T16" s="15"/>
      <c r="U16" s="15"/>
    </row>
    <row r="17" spans="2:21" x14ac:dyDescent="0.25">
      <c r="P17" s="14" t="s">
        <v>230</v>
      </c>
      <c r="Q17" s="15"/>
      <c r="R17" s="15"/>
      <c r="S17" s="15"/>
      <c r="T17" s="15"/>
      <c r="U17" s="15"/>
    </row>
    <row r="18" spans="2:21" x14ac:dyDescent="0.25">
      <c r="B18" s="13" t="s">
        <v>158</v>
      </c>
      <c r="P18" s="14" t="s">
        <v>231</v>
      </c>
      <c r="Q18" s="15"/>
      <c r="R18" s="15"/>
      <c r="S18" s="15"/>
      <c r="T18" s="15"/>
      <c r="U18" s="15"/>
    </row>
    <row r="19" spans="2:21" x14ac:dyDescent="0.25">
      <c r="I19" s="4" t="s">
        <v>117</v>
      </c>
      <c r="P19" s="14" t="s">
        <v>232</v>
      </c>
      <c r="Q19" s="15"/>
      <c r="R19" s="15"/>
      <c r="S19" s="15"/>
      <c r="T19" s="15"/>
      <c r="U19" s="15"/>
    </row>
    <row r="20" spans="2:21" x14ac:dyDescent="0.25">
      <c r="I20" s="7" t="s">
        <v>118</v>
      </c>
      <c r="J20" s="7" t="s">
        <v>119</v>
      </c>
      <c r="K20" s="7" t="s">
        <v>120</v>
      </c>
      <c r="L20" s="7" t="s">
        <v>121</v>
      </c>
      <c r="P20" s="14"/>
      <c r="Q20" s="15"/>
      <c r="R20" s="15"/>
      <c r="S20" s="15"/>
      <c r="T20" s="15"/>
      <c r="U20" s="15"/>
    </row>
    <row r="21" spans="2:21" x14ac:dyDescent="0.25">
      <c r="I21" s="16">
        <v>1</v>
      </c>
      <c r="J21" s="16">
        <v>0</v>
      </c>
      <c r="K21" s="16">
        <v>0</v>
      </c>
      <c r="L21" s="16">
        <v>0</v>
      </c>
      <c r="P21" s="14" t="s">
        <v>233</v>
      </c>
      <c r="Q21" s="15"/>
      <c r="R21" s="15"/>
      <c r="S21" s="15"/>
      <c r="T21" s="15"/>
      <c r="U21" s="15"/>
    </row>
    <row r="22" spans="2:21" x14ac:dyDescent="0.25">
      <c r="I22" s="16">
        <v>0</v>
      </c>
      <c r="J22" s="16">
        <v>1</v>
      </c>
      <c r="K22" s="16">
        <v>0</v>
      </c>
      <c r="L22" s="16">
        <v>0</v>
      </c>
      <c r="P22" s="14" t="s">
        <v>234</v>
      </c>
      <c r="Q22" s="15"/>
      <c r="R22" s="15"/>
      <c r="S22" s="15"/>
      <c r="T22" s="15"/>
      <c r="U22" s="15"/>
    </row>
    <row r="23" spans="2:21" x14ac:dyDescent="0.25">
      <c r="I23" s="16">
        <v>0</v>
      </c>
      <c r="J23" s="16">
        <v>0</v>
      </c>
      <c r="K23" s="16">
        <v>1</v>
      </c>
      <c r="L23" s="16">
        <v>0</v>
      </c>
      <c r="P23" s="14" t="s">
        <v>235</v>
      </c>
      <c r="Q23" s="15"/>
      <c r="R23" s="15"/>
      <c r="S23" s="15"/>
      <c r="T23" s="15"/>
      <c r="U23" s="15"/>
    </row>
    <row r="24" spans="2:21" x14ac:dyDescent="0.25">
      <c r="I24" s="16">
        <v>0</v>
      </c>
      <c r="J24" s="16">
        <v>0</v>
      </c>
      <c r="K24" s="16">
        <v>0</v>
      </c>
      <c r="L24" s="16">
        <v>1</v>
      </c>
      <c r="P24" s="14" t="s">
        <v>236</v>
      </c>
      <c r="Q24" s="15"/>
      <c r="R24" s="15"/>
      <c r="S24" s="15"/>
      <c r="T24" s="15"/>
      <c r="U24" s="15"/>
    </row>
    <row r="25" spans="2:21" x14ac:dyDescent="0.25">
      <c r="C25" s="4" t="s">
        <v>164</v>
      </c>
      <c r="I25" s="16">
        <f>'1 Task'!$C$6</f>
        <v>2</v>
      </c>
      <c r="J25" s="16">
        <f>'1 Task'!$D$6</f>
        <v>1</v>
      </c>
      <c r="K25" s="16">
        <f>'1 Task'!$E$6</f>
        <v>-3</v>
      </c>
      <c r="L25" s="16">
        <f>'1 Task'!$F$6</f>
        <v>6</v>
      </c>
      <c r="P25" s="14" t="s">
        <v>237</v>
      </c>
      <c r="Q25" s="15"/>
      <c r="R25" s="15"/>
      <c r="S25" s="15"/>
      <c r="T25" s="15"/>
      <c r="U25" s="15"/>
    </row>
    <row r="26" spans="2:21" x14ac:dyDescent="0.25">
      <c r="B26" s="7" t="s">
        <v>166</v>
      </c>
      <c r="C26" s="9">
        <v>0</v>
      </c>
      <c r="D26" s="9">
        <v>0</v>
      </c>
      <c r="E26" s="9">
        <v>0</v>
      </c>
      <c r="F26" s="9">
        <v>0</v>
      </c>
      <c r="G26" s="9">
        <v>1</v>
      </c>
      <c r="I26" s="10">
        <f>C26*I21+D26*I22+E26*I23+F26*I24+G26*I25</f>
        <v>2</v>
      </c>
      <c r="J26" s="10">
        <f>C26*J21+D26*J22+E26*J23+F26*J24+G26*J25</f>
        <v>1</v>
      </c>
      <c r="K26" s="10">
        <f>C26*K21+D26*K22+E26*K23+F26*K24+G26*K25</f>
        <v>-3</v>
      </c>
      <c r="L26" s="10">
        <f>C26*L21+D26*L22+E26*L23+F26*L24+G26*L25</f>
        <v>6</v>
      </c>
      <c r="P26" s="14" t="s">
        <v>238</v>
      </c>
      <c r="Q26" s="15"/>
      <c r="R26" s="15"/>
      <c r="S26" s="15"/>
      <c r="T26" s="15"/>
      <c r="U26" s="15"/>
    </row>
    <row r="27" spans="2:21" x14ac:dyDescent="0.25">
      <c r="I27" s="4" t="s">
        <v>141</v>
      </c>
      <c r="P27" s="14" t="s">
        <v>239</v>
      </c>
      <c r="Q27" s="15"/>
      <c r="R27" s="15"/>
      <c r="S27" s="15"/>
      <c r="T27" s="15"/>
      <c r="U27" s="15"/>
    </row>
    <row r="29" spans="2:21" x14ac:dyDescent="0.25">
      <c r="B29" s="13" t="s">
        <v>240</v>
      </c>
    </row>
    <row r="30" spans="2:21" x14ac:dyDescent="0.25">
      <c r="H30" s="4" t="s">
        <v>172</v>
      </c>
    </row>
    <row r="31" spans="2:21" x14ac:dyDescent="0.25">
      <c r="H31" s="7" t="s">
        <v>174</v>
      </c>
      <c r="I31" s="7" t="s">
        <v>175</v>
      </c>
      <c r="J31" s="7" t="s">
        <v>176</v>
      </c>
      <c r="K31" s="7" t="s">
        <v>177</v>
      </c>
    </row>
    <row r="32" spans="2:21" x14ac:dyDescent="0.25">
      <c r="H32" s="16">
        <f>IF('1 Task'!$C$10=0,1,0)</f>
        <v>0</v>
      </c>
      <c r="I32" s="16">
        <f>IF('1 Task'!$C$11=0,1,0)</f>
        <v>1</v>
      </c>
      <c r="J32" s="16">
        <f>IF('1 Task'!$C$12=0,1,0)</f>
        <v>0</v>
      </c>
      <c r="K32" s="16">
        <f>IF('1 Task'!$C$13=0,1,0)</f>
        <v>0</v>
      </c>
    </row>
    <row r="33" spans="2:11" x14ac:dyDescent="0.25">
      <c r="H33" s="16">
        <f>IF('1 Task'!$C$10=1,1,0)</f>
        <v>0</v>
      </c>
      <c r="I33" s="16">
        <f>IF('1 Task'!$C$11=1,1,0)</f>
        <v>0</v>
      </c>
      <c r="J33" s="16">
        <f>IF('1 Task'!$C$12=1,1,0)</f>
        <v>0</v>
      </c>
      <c r="K33" s="16">
        <f>IF('1 Task'!$C$13=1,1,0)</f>
        <v>1</v>
      </c>
    </row>
    <row r="34" spans="2:11" x14ac:dyDescent="0.25">
      <c r="H34" s="16">
        <f>IF('1 Task'!$C$10=2,1,0)</f>
        <v>1</v>
      </c>
      <c r="I34" s="16">
        <f>IF('1 Task'!$C$11=2,1,0)</f>
        <v>0</v>
      </c>
      <c r="J34" s="16">
        <f>IF('1 Task'!$C$12=2,1,0)</f>
        <v>0</v>
      </c>
      <c r="K34" s="16">
        <f>IF('1 Task'!$C$13=2,1,0)</f>
        <v>0</v>
      </c>
    </row>
    <row r="35" spans="2:11" x14ac:dyDescent="0.25">
      <c r="C35" s="4" t="s">
        <v>241</v>
      </c>
      <c r="H35" s="16">
        <f>IF('1 Task'!$C$10=3,1,0)</f>
        <v>0</v>
      </c>
      <c r="I35" s="16">
        <f>IF('1 Task'!$C$11=3,1,0)</f>
        <v>0</v>
      </c>
      <c r="J35" s="16">
        <f>IF('1 Task'!$C$12=3,1,0)</f>
        <v>1</v>
      </c>
      <c r="K35" s="16">
        <f>IF('1 Task'!$C$13=3,1,0)</f>
        <v>0</v>
      </c>
    </row>
    <row r="36" spans="2:11" x14ac:dyDescent="0.25">
      <c r="B36" s="7" t="s">
        <v>183</v>
      </c>
      <c r="C36" s="9">
        <v>0</v>
      </c>
      <c r="D36" s="9">
        <v>1</v>
      </c>
      <c r="E36" s="9">
        <v>0</v>
      </c>
      <c r="F36" s="9">
        <v>0</v>
      </c>
      <c r="H36" s="10">
        <f>C36*H32+D36*H33+E36*H34+F36*H35</f>
        <v>0</v>
      </c>
      <c r="I36" s="10">
        <f>C36*I32+D36*I33+E36*I34+F36*I35</f>
        <v>0</v>
      </c>
      <c r="J36" s="10">
        <f>C36*J32+D36*J33+E36*J34+F36*J35</f>
        <v>0</v>
      </c>
      <c r="K36" s="10">
        <f>C36*K32+D36*K33+E36*K34+F36*K35</f>
        <v>1</v>
      </c>
    </row>
    <row r="37" spans="2:11" x14ac:dyDescent="0.25">
      <c r="B37" s="7" t="s">
        <v>184</v>
      </c>
      <c r="C37" s="9">
        <v>0</v>
      </c>
      <c r="D37" s="9">
        <v>0</v>
      </c>
      <c r="E37" s="9">
        <v>1</v>
      </c>
      <c r="F37" s="9">
        <v>0</v>
      </c>
      <c r="H37" s="10">
        <f>C37*H32+D37*H33+E37*H34+F37*H35</f>
        <v>1</v>
      </c>
      <c r="I37" s="10">
        <f>C37*I32+D37*I33+E37*I34+F37*I35</f>
        <v>0</v>
      </c>
      <c r="J37" s="10">
        <f>C37*J32+D37*J33+E37*J34+F37*J35</f>
        <v>0</v>
      </c>
      <c r="K37" s="10">
        <f>C37*K32+D37*K33+E37*K34+F37*K35</f>
        <v>0</v>
      </c>
    </row>
    <row r="38" spans="2:11" x14ac:dyDescent="0.25">
      <c r="B38" s="7" t="s">
        <v>186</v>
      </c>
      <c r="C38" s="9">
        <v>0</v>
      </c>
      <c r="D38" s="9">
        <v>0</v>
      </c>
      <c r="E38" s="9">
        <v>0</v>
      </c>
      <c r="F38" s="9">
        <v>1</v>
      </c>
      <c r="H38" s="10">
        <f>C38*H32+D38*H33+E38*H34+F38*H35</f>
        <v>0</v>
      </c>
      <c r="I38" s="10">
        <f>C38*I32+D38*I33+E38*I34+F38*I35</f>
        <v>0</v>
      </c>
      <c r="J38" s="10">
        <f>C38*J32+D38*J33+E38*J34+F38*J35</f>
        <v>1</v>
      </c>
      <c r="K38" s="10">
        <f>C38*K32+D38*K33+E38*K34+F38*K35</f>
        <v>0</v>
      </c>
    </row>
    <row r="39" spans="2:11" x14ac:dyDescent="0.25">
      <c r="B39" s="7" t="s">
        <v>188</v>
      </c>
      <c r="C39" s="9">
        <v>1</v>
      </c>
      <c r="D39" s="9">
        <v>0</v>
      </c>
      <c r="E39" s="9">
        <v>0</v>
      </c>
      <c r="F39" s="9">
        <v>0</v>
      </c>
      <c r="H39" s="10">
        <f>C39*H32+D39*H33+E39*H34+F39*H35</f>
        <v>0</v>
      </c>
      <c r="I39" s="10">
        <f>C39*I32+D39*I33+E39*I34+F39*I35</f>
        <v>1</v>
      </c>
      <c r="J39" s="10">
        <f>C39*J32+D39*J33+E39*J34+F39*J35</f>
        <v>0</v>
      </c>
      <c r="K39" s="10">
        <f>C39*K32+D39*K33+E39*K34+F39*K35</f>
        <v>0</v>
      </c>
    </row>
    <row r="40" spans="2:11" x14ac:dyDescent="0.25">
      <c r="H40" s="4" t="s">
        <v>190</v>
      </c>
    </row>
    <row r="42" spans="2:11" x14ac:dyDescent="0.25">
      <c r="B42" s="13" t="s">
        <v>193</v>
      </c>
    </row>
    <row r="43" spans="2:11" x14ac:dyDescent="0.25">
      <c r="H43" s="4" t="s">
        <v>195</v>
      </c>
    </row>
    <row r="44" spans="2:11" x14ac:dyDescent="0.25">
      <c r="H44" s="7" t="s">
        <v>174</v>
      </c>
      <c r="I44" s="7" t="s">
        <v>175</v>
      </c>
      <c r="J44" s="7" t="s">
        <v>176</v>
      </c>
      <c r="K44" s="7" t="s">
        <v>177</v>
      </c>
    </row>
    <row r="45" spans="2:11" x14ac:dyDescent="0.25">
      <c r="H45" s="16">
        <f t="shared" ref="H45:K48" si="0">H36</f>
        <v>0</v>
      </c>
      <c r="I45" s="16">
        <f t="shared" si="0"/>
        <v>0</v>
      </c>
      <c r="J45" s="16">
        <f t="shared" si="0"/>
        <v>0</v>
      </c>
      <c r="K45" s="16">
        <f t="shared" si="0"/>
        <v>1</v>
      </c>
    </row>
    <row r="46" spans="2:11" x14ac:dyDescent="0.25">
      <c r="H46" s="16">
        <f t="shared" si="0"/>
        <v>1</v>
      </c>
      <c r="I46" s="16">
        <f t="shared" si="0"/>
        <v>0</v>
      </c>
      <c r="J46" s="16">
        <f t="shared" si="0"/>
        <v>0</v>
      </c>
      <c r="K46" s="16">
        <f t="shared" si="0"/>
        <v>0</v>
      </c>
    </row>
    <row r="47" spans="2:11" x14ac:dyDescent="0.25">
      <c r="H47" s="16">
        <f t="shared" si="0"/>
        <v>0</v>
      </c>
      <c r="I47" s="16">
        <f t="shared" si="0"/>
        <v>0</v>
      </c>
      <c r="J47" s="16">
        <f t="shared" si="0"/>
        <v>1</v>
      </c>
      <c r="K47" s="16">
        <f t="shared" si="0"/>
        <v>0</v>
      </c>
    </row>
    <row r="48" spans="2:11" x14ac:dyDescent="0.25">
      <c r="C48" s="4" t="s">
        <v>197</v>
      </c>
      <c r="H48" s="16">
        <f t="shared" si="0"/>
        <v>0</v>
      </c>
      <c r="I48" s="16">
        <f t="shared" si="0"/>
        <v>1</v>
      </c>
      <c r="J48" s="16">
        <f t="shared" si="0"/>
        <v>0</v>
      </c>
      <c r="K48" s="16">
        <f t="shared" si="0"/>
        <v>0</v>
      </c>
    </row>
    <row r="49" spans="2:11" x14ac:dyDescent="0.25">
      <c r="B49" s="7" t="s">
        <v>118</v>
      </c>
      <c r="C49" s="17">
        <f>I12</f>
        <v>1</v>
      </c>
      <c r="D49" s="17">
        <f>I13</f>
        <v>0</v>
      </c>
      <c r="E49" s="17">
        <f>I14</f>
        <v>0</v>
      </c>
      <c r="F49" s="17">
        <f>I15</f>
        <v>0</v>
      </c>
      <c r="H49" s="10">
        <f>C49*H45+D49*H46+E49*H47+F49*H48</f>
        <v>0</v>
      </c>
      <c r="I49" s="10">
        <f>C49*I45+D49*I46+E49*I47+F49*I48</f>
        <v>0</v>
      </c>
      <c r="J49" s="10">
        <f>C49*J45+D49*J46+E49*J47+F49*J48</f>
        <v>0</v>
      </c>
      <c r="K49" s="10">
        <f>C49*K45+D49*K46+E49*K47+F49*K48</f>
        <v>1</v>
      </c>
    </row>
    <row r="50" spans="2:11" x14ac:dyDescent="0.25">
      <c r="B50" s="7" t="s">
        <v>119</v>
      </c>
      <c r="C50" s="17">
        <f>J12</f>
        <v>0</v>
      </c>
      <c r="D50" s="17">
        <f>J13</f>
        <v>1</v>
      </c>
      <c r="E50" s="17">
        <f>J14</f>
        <v>0</v>
      </c>
      <c r="F50" s="17">
        <f>J15</f>
        <v>0</v>
      </c>
      <c r="H50" s="10">
        <f>C50*H45+D50*H46+E50*H47+F50*H48</f>
        <v>1</v>
      </c>
      <c r="I50" s="10">
        <f>C50*I45+D50*I46+E50*I47+F50*I48</f>
        <v>0</v>
      </c>
      <c r="J50" s="10">
        <f>C50*J45+D50*J46+E50*J47+F50*J48</f>
        <v>0</v>
      </c>
      <c r="K50" s="10">
        <f>C50*K45+D50*K46+E50*K47+F50*K48</f>
        <v>0</v>
      </c>
    </row>
    <row r="51" spans="2:11" x14ac:dyDescent="0.25">
      <c r="B51" s="7" t="s">
        <v>120</v>
      </c>
      <c r="C51" s="17">
        <f>K12</f>
        <v>0</v>
      </c>
      <c r="D51" s="17">
        <f>K13</f>
        <v>0</v>
      </c>
      <c r="E51" s="17">
        <f>K14</f>
        <v>1</v>
      </c>
      <c r="F51" s="17">
        <f>K15</f>
        <v>0</v>
      </c>
      <c r="H51" s="10">
        <f>C51*H45+D51*H46+E51*H47+F51*H48</f>
        <v>0</v>
      </c>
      <c r="I51" s="10">
        <f>C51*I45+D51*I46+E51*I47+F51*I48</f>
        <v>0</v>
      </c>
      <c r="J51" s="10">
        <f>C51*J45+D51*J46+E51*J47+F51*J48</f>
        <v>1</v>
      </c>
      <c r="K51" s="10">
        <f>C51*K45+D51*K46+E51*K47+F51*K48</f>
        <v>0</v>
      </c>
    </row>
    <row r="52" spans="2:11" x14ac:dyDescent="0.25">
      <c r="B52" s="7" t="s">
        <v>121</v>
      </c>
      <c r="C52" s="17">
        <f>L12</f>
        <v>0</v>
      </c>
      <c r="D52" s="17">
        <f>L13</f>
        <v>0</v>
      </c>
      <c r="E52" s="17">
        <f>L14</f>
        <v>0</v>
      </c>
      <c r="F52" s="17">
        <f>L15</f>
        <v>1</v>
      </c>
      <c r="H52" s="10">
        <f>C52*H45+D52*H46+E52*H47+F52*H48</f>
        <v>0</v>
      </c>
      <c r="I52" s="10">
        <f>C52*I45+D52*I46+E52*I47+F52*I48</f>
        <v>1</v>
      </c>
      <c r="J52" s="10">
        <f>C52*J45+D52*J46+E52*J47+F52*J48</f>
        <v>0</v>
      </c>
      <c r="K52" s="10">
        <f>C52*K45+D52*K46+E52*K47+F52*K48</f>
        <v>0</v>
      </c>
    </row>
    <row r="53" spans="2:11" x14ac:dyDescent="0.25">
      <c r="H53" s="4" t="s">
        <v>144</v>
      </c>
    </row>
    <row r="55" spans="2:11" x14ac:dyDescent="0.25">
      <c r="B55" s="13" t="s">
        <v>198</v>
      </c>
    </row>
    <row r="56" spans="2:11" x14ac:dyDescent="0.25">
      <c r="C56" s="2" t="s">
        <v>154</v>
      </c>
      <c r="D56" s="12">
        <v>10</v>
      </c>
    </row>
    <row r="57" spans="2:11" x14ac:dyDescent="0.25">
      <c r="B57" s="4" t="s">
        <v>149</v>
      </c>
      <c r="D57" s="7" t="s">
        <v>174</v>
      </c>
      <c r="E57" s="7" t="s">
        <v>175</v>
      </c>
      <c r="F57" s="7" t="s">
        <v>176</v>
      </c>
      <c r="G57" s="7" t="s">
        <v>177</v>
      </c>
    </row>
    <row r="58" spans="2:11" x14ac:dyDescent="0.25">
      <c r="C58" s="7" t="s">
        <v>118</v>
      </c>
      <c r="D58" s="18">
        <f>EXP($D$56*H49)/(EXP($D$56*H49)+EXP($D$56*H50)+EXP($D$56*H51)+EXP($D$56*H52))</f>
        <v>4.5393747143688908E-5</v>
      </c>
      <c r="E58" s="18">
        <f>EXP($D$56*I49)/(EXP($D$56*I49)+EXP($D$56*I50)+EXP($D$56*I51)+EXP($D$56*I52))</f>
        <v>4.5393747143688908E-5</v>
      </c>
      <c r="F58" s="18">
        <f>EXP($D$56*J49)/(EXP($D$56*J49)+EXP($D$56*J50)+EXP($D$56*J51)+EXP($D$56*J52))</f>
        <v>4.5393747143688908E-5</v>
      </c>
      <c r="G58" s="18">
        <f>EXP($D$56*K49)/(EXP($D$56*K49)+EXP($D$56*K50)+EXP($D$56*K51)+EXP($D$56*K52))</f>
        <v>0.99986381875856889</v>
      </c>
    </row>
    <row r="59" spans="2:11" x14ac:dyDescent="0.25">
      <c r="C59" s="7" t="s">
        <v>119</v>
      </c>
      <c r="D59" s="18">
        <f>EXP($D$56*H50)/(EXP($D$56*H49)+EXP($D$56*H50)+EXP($D$56*H51)+EXP($D$56*H52))</f>
        <v>0.99986381875856889</v>
      </c>
      <c r="E59" s="18">
        <f>EXP($D$56*I50)/(EXP($D$56*I49)+EXP($D$56*I50)+EXP($D$56*I51)+EXP($D$56*I52))</f>
        <v>4.5393747143688908E-5</v>
      </c>
      <c r="F59" s="18">
        <f>EXP($D$56*J50)/(EXP($D$56*J49)+EXP($D$56*J50)+EXP($D$56*J51)+EXP($D$56*J52))</f>
        <v>4.5393747143688908E-5</v>
      </c>
      <c r="G59" s="18">
        <f>EXP($D$56*K50)/(EXP($D$56*K49)+EXP($D$56*K50)+EXP($D$56*K51)+EXP($D$56*K52))</f>
        <v>4.5393747143688908E-5</v>
      </c>
    </row>
    <row r="60" spans="2:11" x14ac:dyDescent="0.25">
      <c r="C60" s="7" t="s">
        <v>120</v>
      </c>
      <c r="D60" s="18">
        <f>EXP($D$56*H51)/(EXP($D$56*H49)+EXP($D$56*H50)+EXP($D$56*H51)+EXP($D$56*H52))</f>
        <v>4.5393747143688908E-5</v>
      </c>
      <c r="E60" s="18">
        <f>EXP($D$56*I51)/(EXP($D$56*I49)+EXP($D$56*I50)+EXP($D$56*I51)+EXP($D$56*I52))</f>
        <v>4.5393747143688908E-5</v>
      </c>
      <c r="F60" s="18">
        <f>EXP($D$56*J51)/(EXP($D$56*J49)+EXP($D$56*J50)+EXP($D$56*J51)+EXP($D$56*J52))</f>
        <v>0.99986381875856889</v>
      </c>
      <c r="G60" s="18">
        <f>EXP($D$56*K51)/(EXP($D$56*K49)+EXP($D$56*K50)+EXP($D$56*K51)+EXP($D$56*K52))</f>
        <v>4.5393747143688908E-5</v>
      </c>
    </row>
    <row r="61" spans="2:11" x14ac:dyDescent="0.25">
      <c r="C61" s="7" t="s">
        <v>121</v>
      </c>
      <c r="D61" s="18">
        <f>EXP($D$56*H52)/(EXP($D$56*H49)+EXP($D$56*H50)+EXP($D$56*H51)+EXP($D$56*H52))</f>
        <v>4.5393747143688908E-5</v>
      </c>
      <c r="E61" s="18">
        <f>EXP($D$56*I52)/(EXP($D$56*I49)+EXP($D$56*I50)+EXP($D$56*I51)+EXP($D$56*I52))</f>
        <v>0.99986381875856889</v>
      </c>
      <c r="F61" s="18">
        <f>EXP($D$56*J52)/(EXP($D$56*J49)+EXP($D$56*J50)+EXP($D$56*J51)+EXP($D$56*J52))</f>
        <v>4.5393747143688908E-5</v>
      </c>
      <c r="G61" s="18">
        <f>EXP($D$56*K52)/(EXP($D$56*K49)+EXP($D$56*K50)+EXP($D$56*K51)+EXP($D$56*K52))</f>
        <v>4.5393747143688908E-5</v>
      </c>
    </row>
    <row r="62" spans="2:11" x14ac:dyDescent="0.25">
      <c r="C62" s="7" t="s">
        <v>199</v>
      </c>
      <c r="D62" s="18">
        <f>SUM(D58:D61)</f>
        <v>1</v>
      </c>
      <c r="E62" s="18">
        <f>SUM(E58:E61)</f>
        <v>1</v>
      </c>
      <c r="F62" s="18">
        <f>SUM(F58:F61)</f>
        <v>1</v>
      </c>
      <c r="G62" s="18">
        <f>SUM(G58:G61)</f>
        <v>1</v>
      </c>
    </row>
    <row r="64" spans="2:11" x14ac:dyDescent="0.25">
      <c r="B64" s="13" t="s">
        <v>200</v>
      </c>
    </row>
    <row r="65" spans="2:12" x14ac:dyDescent="0.25">
      <c r="H65" s="4" t="s">
        <v>201</v>
      </c>
    </row>
    <row r="66" spans="2:12" x14ac:dyDescent="0.25">
      <c r="H66" s="7" t="s">
        <v>174</v>
      </c>
      <c r="I66" s="7" t="s">
        <v>175</v>
      </c>
      <c r="J66" s="7" t="s">
        <v>176</v>
      </c>
      <c r="K66" s="7" t="s">
        <v>177</v>
      </c>
    </row>
    <row r="67" spans="2:12" x14ac:dyDescent="0.25">
      <c r="H67" s="19">
        <f t="shared" ref="H67:K70" si="1">D58</f>
        <v>4.5393747143688908E-5</v>
      </c>
      <c r="I67" s="19">
        <f t="shared" si="1"/>
        <v>4.5393747143688908E-5</v>
      </c>
      <c r="J67" s="19">
        <f t="shared" si="1"/>
        <v>4.5393747143688908E-5</v>
      </c>
      <c r="K67" s="19">
        <f t="shared" si="1"/>
        <v>0.99986381875856889</v>
      </c>
    </row>
    <row r="68" spans="2:12" x14ac:dyDescent="0.25">
      <c r="H68" s="19">
        <f t="shared" si="1"/>
        <v>0.99986381875856889</v>
      </c>
      <c r="I68" s="19">
        <f t="shared" si="1"/>
        <v>4.5393747143688908E-5</v>
      </c>
      <c r="J68" s="19">
        <f t="shared" si="1"/>
        <v>4.5393747143688908E-5</v>
      </c>
      <c r="K68" s="19">
        <f t="shared" si="1"/>
        <v>4.5393747143688908E-5</v>
      </c>
    </row>
    <row r="69" spans="2:12" x14ac:dyDescent="0.25">
      <c r="H69" s="19">
        <f t="shared" si="1"/>
        <v>4.5393747143688908E-5</v>
      </c>
      <c r="I69" s="19">
        <f t="shared" si="1"/>
        <v>4.5393747143688908E-5</v>
      </c>
      <c r="J69" s="19">
        <f t="shared" si="1"/>
        <v>0.99986381875856889</v>
      </c>
      <c r="K69" s="19">
        <f t="shared" si="1"/>
        <v>4.5393747143688908E-5</v>
      </c>
    </row>
    <row r="70" spans="2:12" x14ac:dyDescent="0.25">
      <c r="C70" s="4" t="s">
        <v>202</v>
      </c>
      <c r="H70" s="19">
        <f t="shared" si="1"/>
        <v>4.5393747143688908E-5</v>
      </c>
      <c r="I70" s="19">
        <f t="shared" si="1"/>
        <v>0.99986381875856889</v>
      </c>
      <c r="J70" s="19">
        <f t="shared" si="1"/>
        <v>4.5393747143688908E-5</v>
      </c>
      <c r="K70" s="19">
        <f t="shared" si="1"/>
        <v>4.5393747143688908E-5</v>
      </c>
    </row>
    <row r="71" spans="2:12" x14ac:dyDescent="0.25">
      <c r="B71" s="7" t="s">
        <v>203</v>
      </c>
      <c r="C71" s="17">
        <f>I26</f>
        <v>2</v>
      </c>
      <c r="D71" s="17">
        <f>J26</f>
        <v>1</v>
      </c>
      <c r="E71" s="17">
        <f>K26</f>
        <v>-3</v>
      </c>
      <c r="F71" s="17">
        <f>L26</f>
        <v>6</v>
      </c>
      <c r="H71" s="20">
        <f>C71*H67+D71*H68+E71*H69+F71*H70</f>
        <v>1.0000907874942873</v>
      </c>
      <c r="I71" s="20">
        <f>C71*I67+D71*I68+E71*I69+F71*I70</f>
        <v>5.9991829125514133</v>
      </c>
      <c r="J71" s="20">
        <f>C71*J67+D71*J68+E71*J69+F71*J70</f>
        <v>-2.9991829125514133</v>
      </c>
      <c r="K71" s="20">
        <f>C71*K67+D71*K68+E71*K69+F71*K70</f>
        <v>1.9999092125057125</v>
      </c>
      <c r="L71" s="4" t="s">
        <v>242</v>
      </c>
    </row>
    <row r="72" spans="2:12" x14ac:dyDescent="0.25">
      <c r="B72" s="4" t="s">
        <v>243</v>
      </c>
      <c r="H72" s="11">
        <f>'1 Task'!$I$10</f>
        <v>1</v>
      </c>
      <c r="I72" s="11">
        <f>'1 Task'!$I$11</f>
        <v>6</v>
      </c>
      <c r="J72" s="11">
        <f>'1 Task'!$I$12</f>
        <v>-3</v>
      </c>
      <c r="K72" s="11">
        <f>'1 Task'!$I$13</f>
        <v>2</v>
      </c>
    </row>
    <row r="75" spans="2:12" x14ac:dyDescent="0.25">
      <c r="B75" s="13" t="s">
        <v>244</v>
      </c>
    </row>
    <row r="76" spans="2:12" x14ac:dyDescent="0.25">
      <c r="C76" s="2" t="s">
        <v>245</v>
      </c>
      <c r="D76" s="12">
        <v>1</v>
      </c>
      <c r="F76" s="2" t="s">
        <v>246</v>
      </c>
      <c r="G76" s="12">
        <v>1</v>
      </c>
    </row>
    <row r="78" spans="2:12" x14ac:dyDescent="0.25">
      <c r="F78" s="4" t="s">
        <v>247</v>
      </c>
    </row>
    <row r="79" spans="2:12" x14ac:dyDescent="0.25">
      <c r="F79" s="7" t="s">
        <v>174</v>
      </c>
      <c r="G79" s="7" t="s">
        <v>175</v>
      </c>
      <c r="H79" s="7" t="s">
        <v>176</v>
      </c>
      <c r="I79" s="7" t="s">
        <v>177</v>
      </c>
    </row>
    <row r="80" spans="2:12" x14ac:dyDescent="0.25">
      <c r="E80" s="7" t="s">
        <v>248</v>
      </c>
      <c r="F80" s="19">
        <f>$D$76*'2 One head'!H72</f>
        <v>5.9991829125514133</v>
      </c>
      <c r="G80" s="19">
        <f>$D$76*'2 One head'!I72</f>
        <v>1.0000907874942873</v>
      </c>
      <c r="H80" s="19">
        <f>$D$76*'2 One head'!J72</f>
        <v>1.9999092125057125</v>
      </c>
      <c r="I80" s="19">
        <f>$D$76*'2 One head'!K72</f>
        <v>-2.9991829125514133</v>
      </c>
    </row>
    <row r="81" spans="2:9" x14ac:dyDescent="0.25">
      <c r="C81" s="4" t="s">
        <v>249</v>
      </c>
      <c r="E81" s="7" t="s">
        <v>250</v>
      </c>
      <c r="F81" s="19">
        <f>$G$76*H71</f>
        <v>1.0000907874942873</v>
      </c>
      <c r="G81" s="19">
        <f>$G$76*I71</f>
        <v>5.9991829125514133</v>
      </c>
      <c r="H81" s="19">
        <f>$G$76*J71</f>
        <v>-2.9991829125514133</v>
      </c>
      <c r="I81" s="19">
        <f>$G$76*K71</f>
        <v>1.9999092125057125</v>
      </c>
    </row>
    <row r="82" spans="2:9" x14ac:dyDescent="0.25">
      <c r="B82" s="7" t="s">
        <v>251</v>
      </c>
      <c r="C82" s="9">
        <v>1</v>
      </c>
      <c r="D82" s="9">
        <v>0</v>
      </c>
      <c r="F82" s="20">
        <f>C82*F80+D82*F81</f>
        <v>5.9991829125514133</v>
      </c>
      <c r="G82" s="20">
        <f>C82*G80+D82*G81</f>
        <v>1.0000907874942873</v>
      </c>
      <c r="H82" s="20">
        <f>C82*H80+D82*H81</f>
        <v>1.9999092125057125</v>
      </c>
      <c r="I82" s="20">
        <f>C82*I80+D82*I81</f>
        <v>-2.9991829125514133</v>
      </c>
    </row>
    <row r="83" spans="2:9" x14ac:dyDescent="0.25">
      <c r="B83" s="7" t="s">
        <v>252</v>
      </c>
      <c r="C83" s="9">
        <v>0</v>
      </c>
      <c r="D83" s="9">
        <v>1</v>
      </c>
      <c r="F83" s="20">
        <f>C83*F80+D83*F81</f>
        <v>1.0000907874942873</v>
      </c>
      <c r="G83" s="20">
        <f>C83*G80+D83*G81</f>
        <v>5.9991829125514133</v>
      </c>
      <c r="H83" s="20">
        <f>C83*H80+D83*H81</f>
        <v>-2.9991829125514133</v>
      </c>
      <c r="I83" s="20">
        <f>C83*I80+D83*I81</f>
        <v>1.9999092125057125</v>
      </c>
    </row>
    <row r="84" spans="2:9" x14ac:dyDescent="0.25">
      <c r="F84" s="4" t="s">
        <v>221</v>
      </c>
    </row>
    <row r="85" spans="2:9" x14ac:dyDescent="0.25">
      <c r="B85" s="4" t="s">
        <v>253</v>
      </c>
      <c r="E85" s="7" t="s">
        <v>251</v>
      </c>
      <c r="F85" s="11">
        <f>'1 Task'!$F$10</f>
        <v>6</v>
      </c>
      <c r="G85" s="11">
        <f>'1 Task'!$F$11</f>
        <v>1</v>
      </c>
      <c r="H85" s="11">
        <f>'1 Task'!$F$12</f>
        <v>2</v>
      </c>
      <c r="I85" s="11">
        <f>'1 Task'!$F$13</f>
        <v>-3</v>
      </c>
    </row>
    <row r="86" spans="2:9" x14ac:dyDescent="0.25">
      <c r="E86" s="7" t="s">
        <v>252</v>
      </c>
      <c r="F86" s="11">
        <f>'1 Task'!$I$10</f>
        <v>1</v>
      </c>
      <c r="G86" s="11">
        <f>'1 Task'!$I$11</f>
        <v>6</v>
      </c>
      <c r="H86" s="11">
        <f>'1 Task'!$I$12</f>
        <v>-3</v>
      </c>
      <c r="I86" s="11">
        <f>'1 Task'!$I$13</f>
        <v>2</v>
      </c>
    </row>
    <row r="88" spans="2:9" x14ac:dyDescent="0.25">
      <c r="B88" s="4" t="s">
        <v>254</v>
      </c>
      <c r="E88" s="7" t="s">
        <v>251</v>
      </c>
      <c r="F88" s="18">
        <f t="shared" ref="F88:I89" si="2">(F82-F85)^2</f>
        <v>6.6763189863786087E-7</v>
      </c>
      <c r="G88" s="18">
        <f t="shared" si="2"/>
        <v>8.2423691189590579E-9</v>
      </c>
      <c r="H88" s="18">
        <f t="shared" si="2"/>
        <v>8.2423691189993763E-9</v>
      </c>
      <c r="I88" s="18">
        <f t="shared" si="2"/>
        <v>6.6763189863786087E-7</v>
      </c>
    </row>
    <row r="89" spans="2:9" x14ac:dyDescent="0.25">
      <c r="E89" s="7" t="s">
        <v>252</v>
      </c>
      <c r="F89" s="18">
        <f t="shared" si="2"/>
        <v>8.2423691189590579E-9</v>
      </c>
      <c r="G89" s="18">
        <f t="shared" si="2"/>
        <v>6.6763189863786087E-7</v>
      </c>
      <c r="H89" s="18">
        <f t="shared" si="2"/>
        <v>6.6763189863786087E-7</v>
      </c>
      <c r="I89" s="18">
        <f t="shared" si="2"/>
        <v>8.2423691189993763E-9</v>
      </c>
    </row>
    <row r="91" spans="2:9" x14ac:dyDescent="0.25">
      <c r="B91" s="4" t="s">
        <v>255</v>
      </c>
      <c r="F91" s="20">
        <f>AVERAGE(F88:I89)</f>
        <v>3.3793713387842001E-7</v>
      </c>
    </row>
    <row r="93" spans="2:9" x14ac:dyDescent="0.25">
      <c r="B93" s="2" t="s">
        <v>256</v>
      </c>
    </row>
    <row r="94" spans="2:9" x14ac:dyDescent="0.25">
      <c r="B94" s="2" t="s">
        <v>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U31"/>
  <sheetViews>
    <sheetView showGridLines="0" workbookViewId="0"/>
  </sheetViews>
  <sheetFormatPr defaultRowHeight="15" x14ac:dyDescent="0.25"/>
  <cols>
    <col min="1" max="1" width="2.42578125" customWidth="1"/>
    <col min="2" max="15" width="10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0" customWidth="1"/>
  </cols>
  <sheetData>
    <row r="1" spans="2:21" ht="18" x14ac:dyDescent="0.25">
      <c r="B1" s="1" t="s">
        <v>258</v>
      </c>
    </row>
    <row r="2" spans="2:21" x14ac:dyDescent="0.25">
      <c r="B2" s="2" t="s">
        <v>259</v>
      </c>
    </row>
    <row r="3" spans="2:21" x14ac:dyDescent="0.25">
      <c r="B3" s="2" t="s">
        <v>260</v>
      </c>
    </row>
    <row r="5" spans="2:21" x14ac:dyDescent="0.25">
      <c r="F5" s="4" t="s">
        <v>261</v>
      </c>
      <c r="P5" s="3" t="s">
        <v>3</v>
      </c>
    </row>
    <row r="6" spans="2:21" x14ac:dyDescent="0.25">
      <c r="F6" s="7" t="s">
        <v>262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F7" s="16">
        <f>'1 Task'!$F$10</f>
        <v>6</v>
      </c>
      <c r="P7" s="5" t="s">
        <v>263</v>
      </c>
      <c r="Q7" s="5" t="s">
        <v>34</v>
      </c>
      <c r="R7" s="5" t="s">
        <v>11</v>
      </c>
      <c r="S7" s="6" t="s">
        <v>264</v>
      </c>
    </row>
    <row r="8" spans="2:21" x14ac:dyDescent="0.25">
      <c r="C8" s="4" t="s">
        <v>265</v>
      </c>
      <c r="F8" s="16">
        <f>'1 Task'!$I$10</f>
        <v>1</v>
      </c>
      <c r="P8" s="5" t="s">
        <v>266</v>
      </c>
      <c r="Q8" s="5" t="s">
        <v>34</v>
      </c>
      <c r="R8" s="5" t="s">
        <v>11</v>
      </c>
      <c r="S8" s="6" t="s">
        <v>267</v>
      </c>
    </row>
    <row r="9" spans="2:21" x14ac:dyDescent="0.25">
      <c r="B9" s="7" t="s">
        <v>248</v>
      </c>
      <c r="C9" s="9">
        <v>1</v>
      </c>
      <c r="D9" s="9">
        <v>0</v>
      </c>
      <c r="F9" s="10">
        <f>C9*F7+D9*F8</f>
        <v>6</v>
      </c>
      <c r="P9" s="5" t="s">
        <v>268</v>
      </c>
      <c r="Q9" s="5" t="s">
        <v>218</v>
      </c>
      <c r="R9" s="5" t="s">
        <v>269</v>
      </c>
      <c r="S9" s="6" t="s">
        <v>270</v>
      </c>
    </row>
    <row r="10" spans="2:21" x14ac:dyDescent="0.25">
      <c r="B10" s="7" t="s">
        <v>250</v>
      </c>
      <c r="C10" s="9">
        <v>0</v>
      </c>
      <c r="D10" s="9">
        <v>1</v>
      </c>
      <c r="F10" s="10">
        <f>C10*F7+D10*F8</f>
        <v>1</v>
      </c>
      <c r="P10" s="5" t="s">
        <v>271</v>
      </c>
      <c r="Q10" s="5" t="s">
        <v>272</v>
      </c>
      <c r="R10" s="5" t="s">
        <v>273</v>
      </c>
      <c r="S10" s="6" t="s">
        <v>274</v>
      </c>
    </row>
    <row r="11" spans="2:21" x14ac:dyDescent="0.25">
      <c r="F11" s="4" t="s">
        <v>275</v>
      </c>
      <c r="P11" s="5" t="s">
        <v>276</v>
      </c>
      <c r="Q11" s="5" t="s">
        <v>39</v>
      </c>
      <c r="R11" s="5" t="s">
        <v>277</v>
      </c>
      <c r="S11" s="6" t="s">
        <v>278</v>
      </c>
    </row>
    <row r="13" spans="2:21" x14ac:dyDescent="0.25">
      <c r="B13" s="2" t="s">
        <v>279</v>
      </c>
    </row>
    <row r="14" spans="2:21" x14ac:dyDescent="0.25">
      <c r="C14" s="2" t="s">
        <v>280</v>
      </c>
      <c r="G14" s="11">
        <f>(C9*D10-D9*C10)</f>
        <v>1</v>
      </c>
      <c r="P14" s="3" t="s">
        <v>281</v>
      </c>
    </row>
    <row r="15" spans="2:21" x14ac:dyDescent="0.25">
      <c r="C15" s="2" t="s">
        <v>282</v>
      </c>
      <c r="G15" s="10">
        <f>IF((C9*D10-D9*C10)=0,"cannot",(D10*F9-D9*F10)/(C9*D10-D9*C10))</f>
        <v>6</v>
      </c>
      <c r="P15" s="14" t="s">
        <v>283</v>
      </c>
      <c r="Q15" s="15"/>
      <c r="R15" s="15"/>
      <c r="S15" s="15"/>
      <c r="T15" s="15"/>
      <c r="U15" s="15"/>
    </row>
    <row r="16" spans="2:21" x14ac:dyDescent="0.25">
      <c r="C16" s="2" t="s">
        <v>284</v>
      </c>
      <c r="G16" s="10">
        <f>IF((C9*D10-D9*C10)=0,"cannot",(C9*F10-C10*F9)/(C9*D10-D9*C10))</f>
        <v>1</v>
      </c>
      <c r="P16" s="14" t="s">
        <v>285</v>
      </c>
      <c r="Q16" s="15"/>
      <c r="R16" s="15"/>
      <c r="S16" s="15"/>
      <c r="T16" s="15"/>
      <c r="U16" s="15"/>
    </row>
    <row r="17" spans="2:21" x14ac:dyDescent="0.25">
      <c r="P17" s="14" t="s">
        <v>286</v>
      </c>
      <c r="Q17" s="15"/>
      <c r="R17" s="15"/>
      <c r="S17" s="15"/>
      <c r="T17" s="15"/>
      <c r="U17" s="15"/>
    </row>
    <row r="18" spans="2:21" x14ac:dyDescent="0.25">
      <c r="B18" s="2" t="s">
        <v>287</v>
      </c>
      <c r="P18" s="14" t="s">
        <v>288</v>
      </c>
      <c r="Q18" s="15"/>
      <c r="R18" s="15"/>
      <c r="S18" s="15"/>
      <c r="T18" s="15"/>
      <c r="U18" s="15"/>
    </row>
    <row r="19" spans="2:21" x14ac:dyDescent="0.25">
      <c r="B19" s="2" t="s">
        <v>289</v>
      </c>
      <c r="P19" s="14" t="s">
        <v>290</v>
      </c>
      <c r="Q19" s="15"/>
      <c r="R19" s="15"/>
      <c r="S19" s="15"/>
      <c r="T19" s="15"/>
      <c r="U19" s="15"/>
    </row>
    <row r="20" spans="2:21" x14ac:dyDescent="0.25">
      <c r="P20" s="14"/>
      <c r="Q20" s="15"/>
      <c r="R20" s="15"/>
      <c r="S20" s="15"/>
      <c r="T20" s="15"/>
      <c r="U20" s="15"/>
    </row>
    <row r="21" spans="2:21" x14ac:dyDescent="0.25">
      <c r="B21" s="2" t="s">
        <v>291</v>
      </c>
      <c r="P21" s="14"/>
      <c r="Q21" s="15"/>
      <c r="R21" s="15"/>
      <c r="S21" s="15"/>
      <c r="T21" s="15"/>
      <c r="U21" s="15"/>
    </row>
    <row r="22" spans="2:21" x14ac:dyDescent="0.25">
      <c r="B22" s="2" t="s">
        <v>292</v>
      </c>
      <c r="P22" s="14" t="s">
        <v>293</v>
      </c>
      <c r="Q22" s="15"/>
      <c r="R22" s="15"/>
      <c r="S22" s="15"/>
      <c r="T22" s="15"/>
      <c r="U22" s="15"/>
    </row>
    <row r="23" spans="2:21" x14ac:dyDescent="0.25">
      <c r="P23" s="14" t="s">
        <v>294</v>
      </c>
      <c r="Q23" s="15"/>
      <c r="R23" s="15"/>
      <c r="S23" s="15"/>
      <c r="T23" s="15"/>
      <c r="U23" s="15"/>
    </row>
    <row r="24" spans="2:21" x14ac:dyDescent="0.25">
      <c r="C24" s="4" t="s">
        <v>295</v>
      </c>
      <c r="E24" s="4" t="s">
        <v>296</v>
      </c>
      <c r="G24" s="4" t="s">
        <v>297</v>
      </c>
      <c r="P24" s="14"/>
      <c r="Q24" s="15"/>
      <c r="R24" s="15"/>
      <c r="S24" s="15"/>
      <c r="T24" s="15"/>
      <c r="U24" s="15"/>
    </row>
    <row r="25" spans="2:21" x14ac:dyDescent="0.25">
      <c r="C25" s="11">
        <v>4</v>
      </c>
      <c r="E25" s="18">
        <v>0</v>
      </c>
      <c r="G25" s="20">
        <f>(1-C25/4)*1.008</f>
        <v>0</v>
      </c>
      <c r="P25" s="14"/>
      <c r="Q25" s="15"/>
      <c r="R25" s="15"/>
      <c r="S25" s="15"/>
      <c r="T25" s="15"/>
      <c r="U25" s="15"/>
    </row>
    <row r="26" spans="2:21" x14ac:dyDescent="0.25">
      <c r="C26" s="11">
        <v>3</v>
      </c>
      <c r="E26" s="18">
        <v>0.254</v>
      </c>
      <c r="G26" s="20">
        <f>(1-C26/4)*1.008</f>
        <v>0.252</v>
      </c>
      <c r="P26" s="14" t="s">
        <v>298</v>
      </c>
      <c r="Q26" s="15"/>
      <c r="R26" s="15"/>
      <c r="S26" s="15"/>
      <c r="T26" s="15"/>
      <c r="U26" s="15"/>
    </row>
    <row r="27" spans="2:21" x14ac:dyDescent="0.25">
      <c r="C27" s="11">
        <v>2</v>
      </c>
      <c r="E27" s="18">
        <v>0.50700000000000001</v>
      </c>
      <c r="G27" s="20">
        <f>(1-C27/4)*1.008</f>
        <v>0.504</v>
      </c>
      <c r="P27" s="14" t="s">
        <v>299</v>
      </c>
      <c r="Q27" s="15"/>
      <c r="R27" s="15"/>
      <c r="S27" s="15"/>
      <c r="T27" s="15"/>
      <c r="U27" s="15"/>
    </row>
    <row r="28" spans="2:21" x14ac:dyDescent="0.25">
      <c r="C28" s="11">
        <v>1</v>
      </c>
      <c r="E28" s="18">
        <v>0.75800000000000001</v>
      </c>
      <c r="G28" s="20">
        <f>(1-C28/4)*1.008</f>
        <v>0.75600000000000001</v>
      </c>
      <c r="P28" s="14" t="s">
        <v>300</v>
      </c>
      <c r="Q28" s="15"/>
      <c r="R28" s="15"/>
      <c r="S28" s="15"/>
      <c r="T28" s="15"/>
      <c r="U28" s="15"/>
    </row>
    <row r="29" spans="2:21" x14ac:dyDescent="0.25">
      <c r="P29" s="14" t="s">
        <v>301</v>
      </c>
      <c r="Q29" s="15"/>
      <c r="R29" s="15"/>
      <c r="S29" s="15"/>
      <c r="T29" s="15"/>
      <c r="U29" s="15"/>
    </row>
    <row r="30" spans="2:21" x14ac:dyDescent="0.25">
      <c r="B30" s="21" t="s">
        <v>302</v>
      </c>
      <c r="P30" s="14" t="s">
        <v>303</v>
      </c>
      <c r="Q30" s="15"/>
      <c r="R30" s="15"/>
      <c r="S30" s="15"/>
      <c r="T30" s="15"/>
      <c r="U30" s="15"/>
    </row>
    <row r="31" spans="2:21" x14ac:dyDescent="0.25">
      <c r="P31" s="14" t="s">
        <v>304</v>
      </c>
      <c r="Q31" s="15"/>
      <c r="R31" s="15"/>
      <c r="S31" s="15"/>
      <c r="T31" s="15"/>
      <c r="U31" s="1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92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305</v>
      </c>
    </row>
    <row r="2" spans="2:21" x14ac:dyDescent="0.25">
      <c r="B2" s="2" t="s">
        <v>306</v>
      </c>
    </row>
    <row r="3" spans="2:21" x14ac:dyDescent="0.25">
      <c r="B3" s="2" t="s">
        <v>307</v>
      </c>
    </row>
    <row r="4" spans="2:21" x14ac:dyDescent="0.25">
      <c r="B4" s="2" t="s">
        <v>308</v>
      </c>
    </row>
    <row r="5" spans="2:21" x14ac:dyDescent="0.25">
      <c r="P5" s="3" t="s">
        <v>3</v>
      </c>
    </row>
    <row r="6" spans="2:21" x14ac:dyDescent="0.25">
      <c r="B6" s="4" t="s">
        <v>309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C7" s="2" t="s">
        <v>310</v>
      </c>
      <c r="G7" s="12">
        <v>1</v>
      </c>
      <c r="H7" s="12">
        <v>1</v>
      </c>
      <c r="I7" s="12">
        <v>1</v>
      </c>
      <c r="P7" s="5" t="s">
        <v>311</v>
      </c>
      <c r="Q7" s="5" t="s">
        <v>312</v>
      </c>
      <c r="R7" s="5" t="s">
        <v>27</v>
      </c>
      <c r="S7" s="6" t="s">
        <v>313</v>
      </c>
    </row>
    <row r="8" spans="2:21" x14ac:dyDescent="0.25">
      <c r="G8" s="4" t="s">
        <v>314</v>
      </c>
      <c r="P8" s="5" t="s">
        <v>315</v>
      </c>
      <c r="Q8" s="5" t="s">
        <v>316</v>
      </c>
      <c r="R8" s="5" t="s">
        <v>317</v>
      </c>
      <c r="S8" s="6" t="s">
        <v>318</v>
      </c>
    </row>
    <row r="9" spans="2:21" x14ac:dyDescent="0.25">
      <c r="G9" s="7" t="s">
        <v>174</v>
      </c>
      <c r="H9" s="7" t="s">
        <v>175</v>
      </c>
      <c r="I9" s="7" t="s">
        <v>176</v>
      </c>
      <c r="J9" s="7" t="s">
        <v>177</v>
      </c>
      <c r="P9" s="5" t="s">
        <v>319</v>
      </c>
      <c r="Q9" s="5" t="s">
        <v>320</v>
      </c>
      <c r="R9" s="5" t="s">
        <v>321</v>
      </c>
      <c r="S9" s="6" t="s">
        <v>322</v>
      </c>
    </row>
    <row r="10" spans="2:21" x14ac:dyDescent="0.25">
      <c r="F10" s="7" t="s">
        <v>323</v>
      </c>
      <c r="G10" s="16">
        <f>$G$7*'1 Task'!$F$10</f>
        <v>6</v>
      </c>
      <c r="H10" s="16">
        <f>$G$7*'1 Task'!$F$11</f>
        <v>1</v>
      </c>
      <c r="I10" s="16">
        <f>$G$7*'1 Task'!$F$12</f>
        <v>2</v>
      </c>
      <c r="J10" s="16">
        <f>$G$7*'1 Task'!$F$13</f>
        <v>-3</v>
      </c>
      <c r="P10" s="5" t="s">
        <v>324</v>
      </c>
      <c r="Q10" s="5" t="s">
        <v>325</v>
      </c>
      <c r="R10" s="5" t="s">
        <v>326</v>
      </c>
      <c r="S10" s="6" t="s">
        <v>327</v>
      </c>
    </row>
    <row r="11" spans="2:21" x14ac:dyDescent="0.25">
      <c r="F11" s="7" t="s">
        <v>328</v>
      </c>
      <c r="G11" s="16">
        <f>$H$7*'1 Task'!$I$10</f>
        <v>1</v>
      </c>
      <c r="H11" s="16">
        <f>$H$7*'1 Task'!$I$11</f>
        <v>6</v>
      </c>
      <c r="I11" s="16">
        <f>$H$7*'1 Task'!$I$12</f>
        <v>-3</v>
      </c>
      <c r="J11" s="16">
        <f>$H$7*'1 Task'!$I$13</f>
        <v>2</v>
      </c>
      <c r="P11" s="5" t="s">
        <v>329</v>
      </c>
      <c r="Q11" s="5" t="s">
        <v>330</v>
      </c>
      <c r="R11" s="5" t="s">
        <v>331</v>
      </c>
      <c r="S11" s="6" t="s">
        <v>332</v>
      </c>
    </row>
    <row r="12" spans="2:21" x14ac:dyDescent="0.25">
      <c r="C12" s="4" t="s">
        <v>333</v>
      </c>
      <c r="F12" s="7" t="s">
        <v>334</v>
      </c>
      <c r="G12" s="16">
        <f>$I$7*'1 Task'!$F$10</f>
        <v>6</v>
      </c>
      <c r="H12" s="16">
        <f>$I$7*'1 Task'!$F$11</f>
        <v>1</v>
      </c>
      <c r="I12" s="16">
        <f>$I$7*'1 Task'!$F$12</f>
        <v>2</v>
      </c>
      <c r="J12" s="16">
        <f>$I$7*'1 Task'!$F$13</f>
        <v>-3</v>
      </c>
    </row>
    <row r="13" spans="2:21" x14ac:dyDescent="0.25">
      <c r="B13" s="7" t="s">
        <v>251</v>
      </c>
      <c r="C13" s="9">
        <v>0.5</v>
      </c>
      <c r="D13" s="9">
        <v>0</v>
      </c>
      <c r="E13" s="9">
        <v>0.5</v>
      </c>
      <c r="G13" s="10">
        <f>C13*G10+D13*G11+E13*G12</f>
        <v>6</v>
      </c>
      <c r="H13" s="10">
        <f>C13*H10+D13*H11+E13*H12</f>
        <v>1</v>
      </c>
      <c r="I13" s="10">
        <f>C13*I10+D13*I11+E13*I12</f>
        <v>2</v>
      </c>
      <c r="J13" s="10">
        <f>C13*J10+D13*J11+E13*J12</f>
        <v>-3</v>
      </c>
    </row>
    <row r="14" spans="2:21" x14ac:dyDescent="0.25">
      <c r="B14" s="7" t="s">
        <v>252</v>
      </c>
      <c r="C14" s="9">
        <v>0</v>
      </c>
      <c r="D14" s="9">
        <v>1</v>
      </c>
      <c r="E14" s="9">
        <v>0</v>
      </c>
      <c r="G14" s="10">
        <f>C14*G10+D14*G11+E14*G12</f>
        <v>1</v>
      </c>
      <c r="H14" s="10">
        <f>C14*H10+D14*H11+E14*H12</f>
        <v>6</v>
      </c>
      <c r="I14" s="10">
        <f>C14*I10+D14*I11+E14*I12</f>
        <v>-3</v>
      </c>
      <c r="J14" s="10">
        <f>C14*J10+D14*J11+E14*J12</f>
        <v>2</v>
      </c>
      <c r="P14" s="3" t="s">
        <v>335</v>
      </c>
    </row>
    <row r="15" spans="2:21" x14ac:dyDescent="0.25">
      <c r="G15" s="4" t="s">
        <v>221</v>
      </c>
      <c r="P15" s="14" t="s">
        <v>336</v>
      </c>
      <c r="Q15" s="15"/>
      <c r="R15" s="15"/>
      <c r="S15" s="15"/>
      <c r="T15" s="15"/>
      <c r="U15" s="15"/>
    </row>
    <row r="16" spans="2:21" x14ac:dyDescent="0.25">
      <c r="B16" s="4" t="s">
        <v>253</v>
      </c>
      <c r="F16" s="7" t="s">
        <v>251</v>
      </c>
      <c r="G16" s="11">
        <f>'1 Task'!$F$10</f>
        <v>6</v>
      </c>
      <c r="H16" s="11">
        <f>'1 Task'!$F$11</f>
        <v>1</v>
      </c>
      <c r="I16" s="11">
        <f>'1 Task'!$F$12</f>
        <v>2</v>
      </c>
      <c r="J16" s="11">
        <f>'1 Task'!$F$13</f>
        <v>-3</v>
      </c>
      <c r="P16" s="14" t="s">
        <v>337</v>
      </c>
      <c r="Q16" s="15"/>
      <c r="R16" s="15"/>
      <c r="S16" s="15"/>
      <c r="T16" s="15"/>
      <c r="U16" s="15"/>
    </row>
    <row r="17" spans="2:21" x14ac:dyDescent="0.25">
      <c r="F17" s="7" t="s">
        <v>252</v>
      </c>
      <c r="G17" s="11">
        <f>'1 Task'!$I$10</f>
        <v>1</v>
      </c>
      <c r="H17" s="11">
        <f>'1 Task'!$I$11</f>
        <v>6</v>
      </c>
      <c r="I17" s="11">
        <f>'1 Task'!$I$12</f>
        <v>-3</v>
      </c>
      <c r="J17" s="11">
        <f>'1 Task'!$I$13</f>
        <v>2</v>
      </c>
      <c r="P17" s="14" t="s">
        <v>338</v>
      </c>
      <c r="Q17" s="15"/>
      <c r="R17" s="15"/>
      <c r="S17" s="15"/>
      <c r="T17" s="15"/>
      <c r="U17" s="15"/>
    </row>
    <row r="18" spans="2:21" x14ac:dyDescent="0.25">
      <c r="P18" s="14" t="s">
        <v>339</v>
      </c>
      <c r="Q18" s="15"/>
      <c r="R18" s="15"/>
      <c r="S18" s="15"/>
      <c r="T18" s="15"/>
      <c r="U18" s="15"/>
    </row>
    <row r="19" spans="2:21" x14ac:dyDescent="0.25">
      <c r="B19" s="4" t="s">
        <v>254</v>
      </c>
      <c r="F19" s="7" t="s">
        <v>251</v>
      </c>
      <c r="G19" s="11">
        <f t="shared" ref="G19:J20" si="0">(G13-G16)^2</f>
        <v>0</v>
      </c>
      <c r="H19" s="11">
        <f t="shared" si="0"/>
        <v>0</v>
      </c>
      <c r="I19" s="11">
        <f t="shared" si="0"/>
        <v>0</v>
      </c>
      <c r="J19" s="11">
        <f t="shared" si="0"/>
        <v>0</v>
      </c>
      <c r="P19" s="14" t="s">
        <v>340</v>
      </c>
      <c r="Q19" s="15"/>
      <c r="R19" s="15"/>
      <c r="S19" s="15"/>
      <c r="T19" s="15"/>
      <c r="U19" s="15"/>
    </row>
    <row r="20" spans="2:21" x14ac:dyDescent="0.25">
      <c r="F20" s="7" t="s">
        <v>252</v>
      </c>
      <c r="G20" s="11">
        <f t="shared" si="0"/>
        <v>0</v>
      </c>
      <c r="H20" s="11">
        <f t="shared" si="0"/>
        <v>0</v>
      </c>
      <c r="I20" s="11">
        <f t="shared" si="0"/>
        <v>0</v>
      </c>
      <c r="J20" s="11">
        <f t="shared" si="0"/>
        <v>0</v>
      </c>
      <c r="P20" s="14" t="s">
        <v>341</v>
      </c>
      <c r="Q20" s="15"/>
      <c r="R20" s="15"/>
      <c r="S20" s="15"/>
      <c r="T20" s="15"/>
      <c r="U20" s="15"/>
    </row>
    <row r="21" spans="2:21" x14ac:dyDescent="0.25">
      <c r="P21" s="14" t="s">
        <v>342</v>
      </c>
      <c r="Q21" s="15"/>
      <c r="R21" s="15"/>
      <c r="S21" s="15"/>
      <c r="T21" s="15"/>
      <c r="U21" s="15"/>
    </row>
    <row r="22" spans="2:21" x14ac:dyDescent="0.25">
      <c r="B22" s="4" t="s">
        <v>224</v>
      </c>
      <c r="G22" s="10">
        <f>AVERAGE(G19:J20)</f>
        <v>0</v>
      </c>
      <c r="P22" s="14" t="s">
        <v>343</v>
      </c>
      <c r="Q22" s="15"/>
      <c r="R22" s="15"/>
      <c r="S22" s="15"/>
      <c r="T22" s="15"/>
      <c r="U22" s="15"/>
    </row>
    <row r="23" spans="2:21" x14ac:dyDescent="0.25">
      <c r="P23" s="14"/>
      <c r="Q23" s="15"/>
      <c r="R23" s="15"/>
      <c r="S23" s="15"/>
      <c r="T23" s="15"/>
      <c r="U23" s="15"/>
    </row>
    <row r="24" spans="2:21" x14ac:dyDescent="0.25">
      <c r="P24" s="14" t="s">
        <v>344</v>
      </c>
      <c r="Q24" s="15"/>
      <c r="R24" s="15"/>
      <c r="S24" s="15"/>
      <c r="T24" s="15"/>
      <c r="U24" s="15"/>
    </row>
    <row r="25" spans="2:21" x14ac:dyDescent="0.25">
      <c r="B25" s="4" t="s">
        <v>345</v>
      </c>
      <c r="P25" s="14" t="s">
        <v>346</v>
      </c>
      <c r="Q25" s="15"/>
      <c r="R25" s="15"/>
      <c r="S25" s="15"/>
      <c r="T25" s="15"/>
      <c r="U25" s="15"/>
    </row>
    <row r="26" spans="2:21" x14ac:dyDescent="0.25">
      <c r="C26" s="2" t="s">
        <v>310</v>
      </c>
      <c r="G26" s="12">
        <v>0</v>
      </c>
      <c r="H26" s="12">
        <v>1</v>
      </c>
      <c r="I26" s="12">
        <v>1</v>
      </c>
      <c r="P26" s="14" t="s">
        <v>347</v>
      </c>
      <c r="Q26" s="15"/>
      <c r="R26" s="15"/>
      <c r="S26" s="15"/>
      <c r="T26" s="15"/>
      <c r="U26" s="15"/>
    </row>
    <row r="27" spans="2:21" x14ac:dyDescent="0.25">
      <c r="G27" s="4" t="s">
        <v>314</v>
      </c>
      <c r="P27" s="14" t="s">
        <v>348</v>
      </c>
      <c r="Q27" s="15"/>
      <c r="R27" s="15"/>
      <c r="S27" s="15"/>
      <c r="T27" s="15"/>
      <c r="U27" s="15"/>
    </row>
    <row r="28" spans="2:21" x14ac:dyDescent="0.25">
      <c r="G28" s="7" t="s">
        <v>174</v>
      </c>
      <c r="H28" s="7" t="s">
        <v>175</v>
      </c>
      <c r="I28" s="7" t="s">
        <v>176</v>
      </c>
      <c r="J28" s="7" t="s">
        <v>177</v>
      </c>
      <c r="P28" s="14" t="s">
        <v>349</v>
      </c>
      <c r="Q28" s="15"/>
      <c r="R28" s="15"/>
      <c r="S28" s="15"/>
      <c r="T28" s="15"/>
      <c r="U28" s="15"/>
    </row>
    <row r="29" spans="2:21" x14ac:dyDescent="0.25">
      <c r="F29" s="7" t="s">
        <v>323</v>
      </c>
      <c r="G29" s="16">
        <f>$G$26*'1 Task'!$F$10</f>
        <v>0</v>
      </c>
      <c r="H29" s="16">
        <f>$G$26*'1 Task'!$F$11</f>
        <v>0</v>
      </c>
      <c r="I29" s="16">
        <f>$G$26*'1 Task'!$F$12</f>
        <v>0</v>
      </c>
      <c r="J29" s="16">
        <f>$G$26*'1 Task'!$F$13</f>
        <v>0</v>
      </c>
      <c r="P29" s="14" t="s">
        <v>350</v>
      </c>
      <c r="Q29" s="15"/>
      <c r="R29" s="15"/>
      <c r="S29" s="15"/>
      <c r="T29" s="15"/>
      <c r="U29" s="15"/>
    </row>
    <row r="30" spans="2:21" x14ac:dyDescent="0.25">
      <c r="F30" s="7" t="s">
        <v>328</v>
      </c>
      <c r="G30" s="16">
        <f>$H$26*'1 Task'!$I$10</f>
        <v>1</v>
      </c>
      <c r="H30" s="16">
        <f>$H$26*'1 Task'!$I$11</f>
        <v>6</v>
      </c>
      <c r="I30" s="16">
        <f>$H$26*'1 Task'!$I$12</f>
        <v>-3</v>
      </c>
      <c r="J30" s="16">
        <f>$H$26*'1 Task'!$I$13</f>
        <v>2</v>
      </c>
      <c r="P30" s="14" t="s">
        <v>351</v>
      </c>
      <c r="Q30" s="15"/>
      <c r="R30" s="15"/>
      <c r="S30" s="15"/>
      <c r="T30" s="15"/>
      <c r="U30" s="15"/>
    </row>
    <row r="31" spans="2:21" x14ac:dyDescent="0.25">
      <c r="C31" s="4" t="s">
        <v>333</v>
      </c>
      <c r="F31" s="7" t="s">
        <v>334</v>
      </c>
      <c r="G31" s="16">
        <f>$I$26*'1 Task'!$F$10</f>
        <v>6</v>
      </c>
      <c r="H31" s="16">
        <f>$I$26*'1 Task'!$F$11</f>
        <v>1</v>
      </c>
      <c r="I31" s="16">
        <f>$I$26*'1 Task'!$F$12</f>
        <v>2</v>
      </c>
      <c r="J31" s="16">
        <f>$I$26*'1 Task'!$F$13</f>
        <v>-3</v>
      </c>
      <c r="P31" s="14" t="s">
        <v>352</v>
      </c>
      <c r="Q31" s="15"/>
      <c r="R31" s="15"/>
      <c r="S31" s="15"/>
      <c r="T31" s="15"/>
      <c r="U31" s="15"/>
    </row>
    <row r="32" spans="2:21" x14ac:dyDescent="0.25">
      <c r="B32" s="7" t="s">
        <v>251</v>
      </c>
      <c r="C32" s="9">
        <v>0.5</v>
      </c>
      <c r="D32" s="9">
        <v>0</v>
      </c>
      <c r="E32" s="9">
        <v>0.5</v>
      </c>
      <c r="G32" s="10">
        <f>C32*G29+D32*G30+E32*G31</f>
        <v>3</v>
      </c>
      <c r="H32" s="10">
        <f>C32*H29+D32*H30+E32*H31</f>
        <v>0.5</v>
      </c>
      <c r="I32" s="10">
        <f>C32*I29+D32*I30+E32*I31</f>
        <v>1</v>
      </c>
      <c r="J32" s="10">
        <f>C32*J29+D32*J30+E32*J31</f>
        <v>-1.5</v>
      </c>
      <c r="P32" s="14" t="s">
        <v>353</v>
      </c>
      <c r="Q32" s="15"/>
      <c r="R32" s="15"/>
      <c r="S32" s="15"/>
      <c r="T32" s="15"/>
      <c r="U32" s="15"/>
    </row>
    <row r="33" spans="2:21" x14ac:dyDescent="0.25">
      <c r="B33" s="7" t="s">
        <v>252</v>
      </c>
      <c r="C33" s="9">
        <v>0</v>
      </c>
      <c r="D33" s="9">
        <v>1</v>
      </c>
      <c r="E33" s="9">
        <v>0</v>
      </c>
      <c r="G33" s="10">
        <f>C33*G29+D33*G30+E33*G31</f>
        <v>1</v>
      </c>
      <c r="H33" s="10">
        <f>C33*H29+D33*H30+E33*H31</f>
        <v>6</v>
      </c>
      <c r="I33" s="10">
        <f>C33*I29+D33*I30+E33*I31</f>
        <v>-3</v>
      </c>
      <c r="J33" s="10">
        <f>C33*J29+D33*J30+E33*J31</f>
        <v>2</v>
      </c>
      <c r="P33" s="14"/>
      <c r="Q33" s="15"/>
      <c r="R33" s="15"/>
      <c r="S33" s="15"/>
      <c r="T33" s="15"/>
      <c r="U33" s="15"/>
    </row>
    <row r="34" spans="2:21" x14ac:dyDescent="0.25">
      <c r="G34" s="4" t="s">
        <v>221</v>
      </c>
      <c r="P34" s="14" t="s">
        <v>354</v>
      </c>
      <c r="Q34" s="15"/>
      <c r="R34" s="15"/>
      <c r="S34" s="15"/>
      <c r="T34" s="15"/>
      <c r="U34" s="15"/>
    </row>
    <row r="35" spans="2:21" x14ac:dyDescent="0.25">
      <c r="B35" s="4" t="s">
        <v>253</v>
      </c>
      <c r="F35" s="7" t="s">
        <v>251</v>
      </c>
      <c r="G35" s="11">
        <f>'1 Task'!$F$10</f>
        <v>6</v>
      </c>
      <c r="H35" s="11">
        <f>'1 Task'!$F$11</f>
        <v>1</v>
      </c>
      <c r="I35" s="11">
        <f>'1 Task'!$F$12</f>
        <v>2</v>
      </c>
      <c r="J35" s="11">
        <f>'1 Task'!$F$13</f>
        <v>-3</v>
      </c>
      <c r="P35" s="14" t="s">
        <v>355</v>
      </c>
      <c r="Q35" s="15"/>
      <c r="R35" s="15"/>
      <c r="S35" s="15"/>
      <c r="T35" s="15"/>
      <c r="U35" s="15"/>
    </row>
    <row r="36" spans="2:21" x14ac:dyDescent="0.25">
      <c r="F36" s="7" t="s">
        <v>252</v>
      </c>
      <c r="G36" s="11">
        <f>'1 Task'!$I$10</f>
        <v>1</v>
      </c>
      <c r="H36" s="11">
        <f>'1 Task'!$I$11</f>
        <v>6</v>
      </c>
      <c r="I36" s="11">
        <f>'1 Task'!$I$12</f>
        <v>-3</v>
      </c>
      <c r="J36" s="11">
        <f>'1 Task'!$I$13</f>
        <v>2</v>
      </c>
      <c r="P36" s="14" t="s">
        <v>356</v>
      </c>
      <c r="Q36" s="15"/>
      <c r="R36" s="15"/>
      <c r="S36" s="15"/>
      <c r="T36" s="15"/>
      <c r="U36" s="15"/>
    </row>
    <row r="37" spans="2:21" x14ac:dyDescent="0.25">
      <c r="P37" s="14" t="s">
        <v>357</v>
      </c>
      <c r="Q37" s="15"/>
      <c r="R37" s="15"/>
      <c r="S37" s="15"/>
      <c r="T37" s="15"/>
      <c r="U37" s="15"/>
    </row>
    <row r="38" spans="2:21" x14ac:dyDescent="0.25">
      <c r="B38" s="4" t="s">
        <v>254</v>
      </c>
      <c r="F38" s="7" t="s">
        <v>251</v>
      </c>
      <c r="G38" s="11">
        <f t="shared" ref="G38:J39" si="1">(G32-G35)^2</f>
        <v>9</v>
      </c>
      <c r="H38" s="11">
        <f t="shared" si="1"/>
        <v>0.25</v>
      </c>
      <c r="I38" s="11">
        <f t="shared" si="1"/>
        <v>1</v>
      </c>
      <c r="J38" s="11">
        <f t="shared" si="1"/>
        <v>2.25</v>
      </c>
      <c r="P38" s="14" t="s">
        <v>358</v>
      </c>
      <c r="Q38" s="15"/>
      <c r="R38" s="15"/>
      <c r="S38" s="15"/>
      <c r="T38" s="15"/>
      <c r="U38" s="15"/>
    </row>
    <row r="39" spans="2:21" x14ac:dyDescent="0.25">
      <c r="F39" s="7" t="s">
        <v>252</v>
      </c>
      <c r="G39" s="11">
        <f t="shared" si="1"/>
        <v>0</v>
      </c>
      <c r="H39" s="11">
        <f t="shared" si="1"/>
        <v>0</v>
      </c>
      <c r="I39" s="11">
        <f t="shared" si="1"/>
        <v>0</v>
      </c>
      <c r="J39" s="11">
        <f t="shared" si="1"/>
        <v>0</v>
      </c>
      <c r="P39" s="14" t="s">
        <v>359</v>
      </c>
      <c r="Q39" s="15"/>
      <c r="R39" s="15"/>
      <c r="S39" s="15"/>
      <c r="T39" s="15"/>
      <c r="U39" s="15"/>
    </row>
    <row r="40" spans="2:21" x14ac:dyDescent="0.25">
      <c r="P40" s="14" t="s">
        <v>360</v>
      </c>
      <c r="Q40" s="15"/>
      <c r="R40" s="15"/>
      <c r="S40" s="15"/>
      <c r="T40" s="15"/>
      <c r="U40" s="15"/>
    </row>
    <row r="41" spans="2:21" x14ac:dyDescent="0.25">
      <c r="B41" s="4" t="s">
        <v>224</v>
      </c>
      <c r="G41" s="10">
        <f>AVERAGE(G38:J39)</f>
        <v>1.5625</v>
      </c>
      <c r="P41" s="14" t="s">
        <v>361</v>
      </c>
      <c r="Q41" s="15"/>
      <c r="R41" s="15"/>
      <c r="S41" s="15"/>
      <c r="T41" s="15"/>
      <c r="U41" s="15"/>
    </row>
    <row r="42" spans="2:21" x14ac:dyDescent="0.25">
      <c r="P42" s="14" t="s">
        <v>362</v>
      </c>
      <c r="Q42" s="15"/>
      <c r="R42" s="15"/>
      <c r="S42" s="15"/>
      <c r="T42" s="15"/>
      <c r="U42" s="15"/>
    </row>
    <row r="43" spans="2:21" x14ac:dyDescent="0.25">
      <c r="P43" s="14" t="s">
        <v>363</v>
      </c>
      <c r="Q43" s="15"/>
      <c r="R43" s="15"/>
      <c r="S43" s="15"/>
      <c r="T43" s="15"/>
      <c r="U43" s="15"/>
    </row>
    <row r="44" spans="2:21" x14ac:dyDescent="0.25">
      <c r="B44" s="4" t="s">
        <v>364</v>
      </c>
      <c r="P44" s="14"/>
      <c r="Q44" s="15"/>
      <c r="R44" s="15"/>
      <c r="S44" s="15"/>
      <c r="T44" s="15"/>
      <c r="U44" s="15"/>
    </row>
    <row r="45" spans="2:21" x14ac:dyDescent="0.25">
      <c r="C45" s="2" t="s">
        <v>310</v>
      </c>
      <c r="G45" s="12">
        <v>0</v>
      </c>
      <c r="H45" s="12">
        <v>1</v>
      </c>
      <c r="I45" s="12">
        <v>1</v>
      </c>
      <c r="P45" s="14" t="s">
        <v>365</v>
      </c>
      <c r="Q45" s="15"/>
      <c r="R45" s="15"/>
      <c r="S45" s="15"/>
      <c r="T45" s="15"/>
      <c r="U45" s="15"/>
    </row>
    <row r="46" spans="2:21" x14ac:dyDescent="0.25">
      <c r="G46" s="4" t="s">
        <v>314</v>
      </c>
      <c r="P46" s="14" t="s">
        <v>366</v>
      </c>
      <c r="Q46" s="15"/>
      <c r="R46" s="15"/>
      <c r="S46" s="15"/>
      <c r="T46" s="15"/>
      <c r="U46" s="15"/>
    </row>
    <row r="47" spans="2:21" x14ac:dyDescent="0.25">
      <c r="G47" s="7" t="s">
        <v>174</v>
      </c>
      <c r="H47" s="7" t="s">
        <v>175</v>
      </c>
      <c r="I47" s="7" t="s">
        <v>176</v>
      </c>
      <c r="J47" s="7" t="s">
        <v>177</v>
      </c>
      <c r="P47" s="14" t="s">
        <v>367</v>
      </c>
      <c r="Q47" s="15"/>
      <c r="R47" s="15"/>
      <c r="S47" s="15"/>
      <c r="T47" s="15"/>
      <c r="U47" s="15"/>
    </row>
    <row r="48" spans="2:21" x14ac:dyDescent="0.25">
      <c r="F48" s="7" t="s">
        <v>323</v>
      </c>
      <c r="G48" s="16">
        <f>$G$45*'1 Task'!$F$10</f>
        <v>0</v>
      </c>
      <c r="H48" s="16">
        <f>$G$45*'1 Task'!$F$11</f>
        <v>0</v>
      </c>
      <c r="I48" s="16">
        <f>$G$45*'1 Task'!$F$12</f>
        <v>0</v>
      </c>
      <c r="J48" s="16">
        <f>$G$45*'1 Task'!$F$13</f>
        <v>0</v>
      </c>
      <c r="P48" s="14" t="s">
        <v>368</v>
      </c>
      <c r="Q48" s="15"/>
      <c r="R48" s="15"/>
      <c r="S48" s="15"/>
      <c r="T48" s="15"/>
      <c r="U48" s="15"/>
    </row>
    <row r="49" spans="2:21" x14ac:dyDescent="0.25">
      <c r="F49" s="7" t="s">
        <v>328</v>
      </c>
      <c r="G49" s="16">
        <f>$H$45*'1 Task'!$I$10</f>
        <v>1</v>
      </c>
      <c r="H49" s="16">
        <f>$H$45*'1 Task'!$I$11</f>
        <v>6</v>
      </c>
      <c r="I49" s="16">
        <f>$H$45*'1 Task'!$I$12</f>
        <v>-3</v>
      </c>
      <c r="J49" s="16">
        <f>$H$45*'1 Task'!$I$13</f>
        <v>2</v>
      </c>
      <c r="P49" s="14" t="s">
        <v>369</v>
      </c>
      <c r="Q49" s="15"/>
      <c r="R49" s="15"/>
      <c r="S49" s="15"/>
      <c r="T49" s="15"/>
      <c r="U49" s="15"/>
    </row>
    <row r="50" spans="2:21" x14ac:dyDescent="0.25">
      <c r="C50" s="4" t="s">
        <v>333</v>
      </c>
      <c r="F50" s="7" t="s">
        <v>334</v>
      </c>
      <c r="G50" s="16">
        <f>$I$45*'1 Task'!$F$10</f>
        <v>6</v>
      </c>
      <c r="H50" s="16">
        <f>$I$45*'1 Task'!$F$11</f>
        <v>1</v>
      </c>
      <c r="I50" s="16">
        <f>$I$45*'1 Task'!$F$12</f>
        <v>2</v>
      </c>
      <c r="J50" s="16">
        <f>$I$45*'1 Task'!$F$13</f>
        <v>-3</v>
      </c>
      <c r="P50" s="14" t="s">
        <v>370</v>
      </c>
      <c r="Q50" s="15"/>
      <c r="R50" s="15"/>
      <c r="S50" s="15"/>
      <c r="T50" s="15"/>
      <c r="U50" s="15"/>
    </row>
    <row r="51" spans="2:21" x14ac:dyDescent="0.25">
      <c r="B51" s="7" t="s">
        <v>251</v>
      </c>
      <c r="C51" s="9">
        <v>0</v>
      </c>
      <c r="D51" s="9">
        <v>0</v>
      </c>
      <c r="E51" s="9">
        <v>1</v>
      </c>
      <c r="G51" s="10">
        <f>C51*G48+D51*G49+E51*G50</f>
        <v>6</v>
      </c>
      <c r="H51" s="10">
        <f>C51*H48+D51*H49+E51*H50</f>
        <v>1</v>
      </c>
      <c r="I51" s="10">
        <f>C51*I48+D51*I49+E51*I50</f>
        <v>2</v>
      </c>
      <c r="J51" s="10">
        <f>C51*J48+D51*J49+E51*J50</f>
        <v>-3</v>
      </c>
      <c r="P51" s="14" t="s">
        <v>371</v>
      </c>
      <c r="Q51" s="15"/>
      <c r="R51" s="15"/>
      <c r="S51" s="15"/>
      <c r="T51" s="15"/>
      <c r="U51" s="15"/>
    </row>
    <row r="52" spans="2:21" x14ac:dyDescent="0.25">
      <c r="B52" s="7" t="s">
        <v>252</v>
      </c>
      <c r="C52" s="9">
        <v>0</v>
      </c>
      <c r="D52" s="9">
        <v>1</v>
      </c>
      <c r="E52" s="9">
        <v>0</v>
      </c>
      <c r="G52" s="10">
        <f>C52*G48+D52*G49+E52*G50</f>
        <v>1</v>
      </c>
      <c r="H52" s="10">
        <f>C52*H48+D52*H49+E52*H50</f>
        <v>6</v>
      </c>
      <c r="I52" s="10">
        <f>C52*I48+D52*I49+E52*I50</f>
        <v>-3</v>
      </c>
      <c r="J52" s="10">
        <f>C52*J48+D52*J49+E52*J50</f>
        <v>2</v>
      </c>
      <c r="P52" s="14" t="s">
        <v>372</v>
      </c>
      <c r="Q52" s="15"/>
      <c r="R52" s="15"/>
      <c r="S52" s="15"/>
      <c r="T52" s="15"/>
      <c r="U52" s="15"/>
    </row>
    <row r="53" spans="2:21" x14ac:dyDescent="0.25">
      <c r="G53" s="4" t="s">
        <v>221</v>
      </c>
      <c r="P53" s="14" t="s">
        <v>373</v>
      </c>
      <c r="Q53" s="15"/>
      <c r="R53" s="15"/>
      <c r="S53" s="15"/>
      <c r="T53" s="15"/>
      <c r="U53" s="15"/>
    </row>
    <row r="54" spans="2:21" x14ac:dyDescent="0.25">
      <c r="B54" s="4" t="s">
        <v>253</v>
      </c>
      <c r="F54" s="7" t="s">
        <v>251</v>
      </c>
      <c r="G54" s="11">
        <f>'1 Task'!$F$10</f>
        <v>6</v>
      </c>
      <c r="H54" s="11">
        <f>'1 Task'!$F$11</f>
        <v>1</v>
      </c>
      <c r="I54" s="11">
        <f>'1 Task'!$F$12</f>
        <v>2</v>
      </c>
      <c r="J54" s="11">
        <f>'1 Task'!$F$13</f>
        <v>-3</v>
      </c>
      <c r="P54" s="14" t="s">
        <v>374</v>
      </c>
      <c r="Q54" s="15"/>
      <c r="R54" s="15"/>
      <c r="S54" s="15"/>
      <c r="T54" s="15"/>
      <c r="U54" s="15"/>
    </row>
    <row r="55" spans="2:21" x14ac:dyDescent="0.25">
      <c r="F55" s="7" t="s">
        <v>252</v>
      </c>
      <c r="G55" s="11">
        <f>'1 Task'!$I$10</f>
        <v>1</v>
      </c>
      <c r="H55" s="11">
        <f>'1 Task'!$I$11</f>
        <v>6</v>
      </c>
      <c r="I55" s="11">
        <f>'1 Task'!$I$12</f>
        <v>-3</v>
      </c>
      <c r="J55" s="11">
        <f>'1 Task'!$I$13</f>
        <v>2</v>
      </c>
    </row>
    <row r="57" spans="2:21" x14ac:dyDescent="0.25">
      <c r="B57" s="4" t="s">
        <v>254</v>
      </c>
      <c r="F57" s="7" t="s">
        <v>251</v>
      </c>
      <c r="G57" s="11">
        <f t="shared" ref="G57:J58" si="2">(G51-G54)^2</f>
        <v>0</v>
      </c>
      <c r="H57" s="11">
        <f t="shared" si="2"/>
        <v>0</v>
      </c>
      <c r="I57" s="11">
        <f t="shared" si="2"/>
        <v>0</v>
      </c>
      <c r="J57" s="11">
        <f t="shared" si="2"/>
        <v>0</v>
      </c>
    </row>
    <row r="58" spans="2:21" x14ac:dyDescent="0.25">
      <c r="F58" s="7" t="s">
        <v>252</v>
      </c>
      <c r="G58" s="11">
        <f t="shared" si="2"/>
        <v>0</v>
      </c>
      <c r="H58" s="11">
        <f t="shared" si="2"/>
        <v>0</v>
      </c>
      <c r="I58" s="11">
        <f t="shared" si="2"/>
        <v>0</v>
      </c>
      <c r="J58" s="11">
        <f t="shared" si="2"/>
        <v>0</v>
      </c>
    </row>
    <row r="60" spans="2:21" x14ac:dyDescent="0.25">
      <c r="B60" s="4" t="s">
        <v>224</v>
      </c>
      <c r="G60" s="10">
        <f>AVERAGE(G57:J58)</f>
        <v>0</v>
      </c>
    </row>
    <row r="63" spans="2:21" x14ac:dyDescent="0.25">
      <c r="B63" s="4" t="s">
        <v>375</v>
      </c>
    </row>
    <row r="64" spans="2:21" x14ac:dyDescent="0.25">
      <c r="C64" s="2" t="s">
        <v>310</v>
      </c>
      <c r="G64" s="12">
        <v>1</v>
      </c>
      <c r="H64" s="12">
        <v>0</v>
      </c>
      <c r="I64" s="12">
        <v>1</v>
      </c>
    </row>
    <row r="65" spans="2:10" x14ac:dyDescent="0.25">
      <c r="G65" s="4" t="s">
        <v>314</v>
      </c>
    </row>
    <row r="66" spans="2:10" x14ac:dyDescent="0.25">
      <c r="G66" s="7" t="s">
        <v>174</v>
      </c>
      <c r="H66" s="7" t="s">
        <v>175</v>
      </c>
      <c r="I66" s="7" t="s">
        <v>176</v>
      </c>
      <c r="J66" s="7" t="s">
        <v>177</v>
      </c>
    </row>
    <row r="67" spans="2:10" x14ac:dyDescent="0.25">
      <c r="F67" s="7" t="s">
        <v>323</v>
      </c>
      <c r="G67" s="16">
        <f>$G$64*'1 Task'!$F$10</f>
        <v>6</v>
      </c>
      <c r="H67" s="16">
        <f>$G$64*'1 Task'!$F$11</f>
        <v>1</v>
      </c>
      <c r="I67" s="16">
        <f>$G$64*'1 Task'!$F$12</f>
        <v>2</v>
      </c>
      <c r="J67" s="16">
        <f>$G$64*'1 Task'!$F$13</f>
        <v>-3</v>
      </c>
    </row>
    <row r="68" spans="2:10" x14ac:dyDescent="0.25">
      <c r="F68" s="7" t="s">
        <v>328</v>
      </c>
      <c r="G68" s="16">
        <f>$H$64*'1 Task'!$I$10</f>
        <v>0</v>
      </c>
      <c r="H68" s="16">
        <f>$H$64*'1 Task'!$I$11</f>
        <v>0</v>
      </c>
      <c r="I68" s="16">
        <f>$H$64*'1 Task'!$I$12</f>
        <v>0</v>
      </c>
      <c r="J68" s="16">
        <f>$H$64*'1 Task'!$I$13</f>
        <v>0</v>
      </c>
    </row>
    <row r="69" spans="2:10" x14ac:dyDescent="0.25">
      <c r="C69" s="4" t="s">
        <v>333</v>
      </c>
      <c r="F69" s="7" t="s">
        <v>334</v>
      </c>
      <c r="G69" s="16">
        <f>$I$64*'1 Task'!$F$10</f>
        <v>6</v>
      </c>
      <c r="H69" s="16">
        <f>$I$64*'1 Task'!$F$11</f>
        <v>1</v>
      </c>
      <c r="I69" s="16">
        <f>$I$64*'1 Task'!$F$12</f>
        <v>2</v>
      </c>
      <c r="J69" s="16">
        <f>$I$64*'1 Task'!$F$13</f>
        <v>-3</v>
      </c>
    </row>
    <row r="70" spans="2:10" x14ac:dyDescent="0.25">
      <c r="B70" s="7" t="s">
        <v>251</v>
      </c>
      <c r="C70" s="9">
        <v>0.5</v>
      </c>
      <c r="D70" s="9">
        <v>0</v>
      </c>
      <c r="E70" s="9">
        <v>0.5</v>
      </c>
      <c r="G70" s="10">
        <f>C70*G67+D70*G68+E70*G69</f>
        <v>6</v>
      </c>
      <c r="H70" s="10">
        <f>C70*H67+D70*H68+E70*H69</f>
        <v>1</v>
      </c>
      <c r="I70" s="10">
        <f>C70*I67+D70*I68+E70*I69</f>
        <v>2</v>
      </c>
      <c r="J70" s="10">
        <f>C70*J67+D70*J68+E70*J69</f>
        <v>-3</v>
      </c>
    </row>
    <row r="71" spans="2:10" x14ac:dyDescent="0.25">
      <c r="B71" s="7" t="s">
        <v>252</v>
      </c>
      <c r="C71" s="9">
        <v>0</v>
      </c>
      <c r="D71" s="9">
        <v>0</v>
      </c>
      <c r="E71" s="9">
        <v>0</v>
      </c>
      <c r="G71" s="10">
        <f>C71*G67+D71*G68+E71*G69</f>
        <v>0</v>
      </c>
      <c r="H71" s="10">
        <f>C71*H67+D71*H68+E71*H69</f>
        <v>0</v>
      </c>
      <c r="I71" s="10">
        <f>C71*I67+D71*I68+E71*I69</f>
        <v>0</v>
      </c>
      <c r="J71" s="10">
        <f>C71*J67+D71*J68+E71*J69</f>
        <v>0</v>
      </c>
    </row>
    <row r="72" spans="2:10" x14ac:dyDescent="0.25">
      <c r="G72" s="4" t="s">
        <v>221</v>
      </c>
    </row>
    <row r="73" spans="2:10" x14ac:dyDescent="0.25">
      <c r="B73" s="4" t="s">
        <v>253</v>
      </c>
      <c r="F73" s="7" t="s">
        <v>251</v>
      </c>
      <c r="G73" s="11">
        <f>'1 Task'!$F$10</f>
        <v>6</v>
      </c>
      <c r="H73" s="11">
        <f>'1 Task'!$F$11</f>
        <v>1</v>
      </c>
      <c r="I73" s="11">
        <f>'1 Task'!$F$12</f>
        <v>2</v>
      </c>
      <c r="J73" s="11">
        <f>'1 Task'!$F$13</f>
        <v>-3</v>
      </c>
    </row>
    <row r="74" spans="2:10" x14ac:dyDescent="0.25">
      <c r="F74" s="7" t="s">
        <v>252</v>
      </c>
      <c r="G74" s="11">
        <f>'1 Task'!$I$10</f>
        <v>1</v>
      </c>
      <c r="H74" s="11">
        <f>'1 Task'!$I$11</f>
        <v>6</v>
      </c>
      <c r="I74" s="11">
        <f>'1 Task'!$I$12</f>
        <v>-3</v>
      </c>
      <c r="J74" s="11">
        <f>'1 Task'!$I$13</f>
        <v>2</v>
      </c>
    </row>
    <row r="76" spans="2:10" x14ac:dyDescent="0.25">
      <c r="B76" s="4" t="s">
        <v>254</v>
      </c>
      <c r="F76" s="7" t="s">
        <v>251</v>
      </c>
      <c r="G76" s="11">
        <f t="shared" ref="G76:J77" si="3">(G70-G73)^2</f>
        <v>0</v>
      </c>
      <c r="H76" s="11">
        <f t="shared" si="3"/>
        <v>0</v>
      </c>
      <c r="I76" s="11">
        <f t="shared" si="3"/>
        <v>0</v>
      </c>
      <c r="J76" s="11">
        <f t="shared" si="3"/>
        <v>0</v>
      </c>
    </row>
    <row r="77" spans="2:10" x14ac:dyDescent="0.25">
      <c r="F77" s="7" t="s">
        <v>252</v>
      </c>
      <c r="G77" s="11">
        <f t="shared" si="3"/>
        <v>1</v>
      </c>
      <c r="H77" s="11">
        <f t="shared" si="3"/>
        <v>36</v>
      </c>
      <c r="I77" s="11">
        <f t="shared" si="3"/>
        <v>9</v>
      </c>
      <c r="J77" s="11">
        <f t="shared" si="3"/>
        <v>4</v>
      </c>
    </row>
    <row r="79" spans="2:10" x14ac:dyDescent="0.25">
      <c r="B79" s="4" t="s">
        <v>224</v>
      </c>
      <c r="G79" s="10">
        <f>AVERAGE(G76:J77)</f>
        <v>6.25</v>
      </c>
    </row>
    <row r="82" spans="2:11" x14ac:dyDescent="0.25">
      <c r="B82" s="13" t="s">
        <v>376</v>
      </c>
      <c r="K82" s="10">
        <f>SUMPRODUCT('1 Task'!$F$10:$F$13,'1 Task'!$I$10:$I$13)/SUMPRODUCT('1 Task'!$F$10:$F$13,'1 Task'!$F$10:$F$13)</f>
        <v>0</v>
      </c>
    </row>
    <row r="83" spans="2:11" x14ac:dyDescent="0.25">
      <c r="B83" s="13" t="s">
        <v>377</v>
      </c>
    </row>
    <row r="85" spans="2:11" x14ac:dyDescent="0.25">
      <c r="B85" s="4" t="s">
        <v>378</v>
      </c>
    </row>
    <row r="86" spans="2:11" x14ac:dyDescent="0.25">
      <c r="B86" s="4" t="s">
        <v>379</v>
      </c>
      <c r="D86" s="4" t="s">
        <v>380</v>
      </c>
      <c r="H86" s="4" t="s">
        <v>381</v>
      </c>
    </row>
    <row r="87" spans="2:11" x14ac:dyDescent="0.25">
      <c r="B87" s="2" t="s">
        <v>382</v>
      </c>
      <c r="D87" s="11">
        <f>$G$41-$G$22</f>
        <v>1.5625</v>
      </c>
      <c r="H87" s="10">
        <f>$G$60-$G$22</f>
        <v>0</v>
      </c>
    </row>
    <row r="88" spans="2:11" x14ac:dyDescent="0.25">
      <c r="B88" s="2" t="s">
        <v>383</v>
      </c>
      <c r="D88" s="11">
        <f>$G$79-$G$22</f>
        <v>6.25</v>
      </c>
      <c r="H88" s="10">
        <f>$G$79-$G$22</f>
        <v>6.25</v>
      </c>
    </row>
    <row r="89" spans="2:11" x14ac:dyDescent="0.25">
      <c r="B89" s="2" t="s">
        <v>384</v>
      </c>
      <c r="D89" s="11">
        <f>$G$41-$G$22</f>
        <v>1.5625</v>
      </c>
      <c r="H89" s="10">
        <f>$G$60-$G$22</f>
        <v>0</v>
      </c>
    </row>
    <row r="91" spans="2:11" x14ac:dyDescent="0.25">
      <c r="B91" s="2" t="s">
        <v>385</v>
      </c>
    </row>
    <row r="92" spans="2:11" x14ac:dyDescent="0.25">
      <c r="B92" s="2" t="s">
        <v>386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U53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387</v>
      </c>
    </row>
    <row r="2" spans="2:21" x14ac:dyDescent="0.25">
      <c r="B2" s="2" t="s">
        <v>388</v>
      </c>
    </row>
    <row r="3" spans="2:21" x14ac:dyDescent="0.25">
      <c r="B3" s="2" t="s">
        <v>389</v>
      </c>
    </row>
    <row r="5" spans="2:21" x14ac:dyDescent="0.25">
      <c r="B5" s="2" t="s">
        <v>390</v>
      </c>
      <c r="D5" s="12">
        <v>1</v>
      </c>
      <c r="P5" s="3" t="s">
        <v>3</v>
      </c>
    </row>
    <row r="6" spans="2:21" x14ac:dyDescent="0.25"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B7" s="4" t="s">
        <v>391</v>
      </c>
      <c r="P7" s="5" t="s">
        <v>392</v>
      </c>
      <c r="Q7" s="5" t="s">
        <v>393</v>
      </c>
      <c r="R7" s="5" t="s">
        <v>27</v>
      </c>
      <c r="S7" s="6"/>
    </row>
    <row r="8" spans="2:21" x14ac:dyDescent="0.25">
      <c r="C8" s="4" t="s">
        <v>382</v>
      </c>
      <c r="D8" s="4" t="s">
        <v>383</v>
      </c>
      <c r="E8" s="4" t="s">
        <v>394</v>
      </c>
      <c r="P8" s="5" t="s">
        <v>390</v>
      </c>
      <c r="Q8" s="5" t="s">
        <v>395</v>
      </c>
      <c r="R8" s="5" t="s">
        <v>396</v>
      </c>
      <c r="S8" s="6" t="s">
        <v>397</v>
      </c>
    </row>
    <row r="9" spans="2:21" x14ac:dyDescent="0.25">
      <c r="B9" s="2" t="s">
        <v>262</v>
      </c>
      <c r="C9" s="11">
        <f>'5 Collateral value'!$H$87</f>
        <v>0</v>
      </c>
      <c r="D9" s="11">
        <f>'5 Collateral value'!$H$88</f>
        <v>6.25</v>
      </c>
      <c r="E9" s="11">
        <f>'5 Collateral value'!$H$89</f>
        <v>0</v>
      </c>
      <c r="P9" s="5" t="s">
        <v>398</v>
      </c>
      <c r="Q9" s="5" t="s">
        <v>399</v>
      </c>
      <c r="R9" s="5" t="s">
        <v>400</v>
      </c>
      <c r="S9" s="6" t="s">
        <v>401</v>
      </c>
    </row>
    <row r="10" spans="2:21" x14ac:dyDescent="0.25">
      <c r="B10" s="2" t="s">
        <v>402</v>
      </c>
      <c r="C10" s="11">
        <f>MIN(C9:E9)</f>
        <v>0</v>
      </c>
      <c r="D10" s="11" t="str">
        <f>INDEX(C8:E8,MATCH(C10,C9:E9,0))</f>
        <v>A</v>
      </c>
      <c r="P10" s="5" t="s">
        <v>403</v>
      </c>
      <c r="Q10" s="5" t="s">
        <v>404</v>
      </c>
      <c r="R10" s="5" t="s">
        <v>405</v>
      </c>
      <c r="S10" s="6" t="s">
        <v>406</v>
      </c>
    </row>
    <row r="11" spans="2:21" x14ac:dyDescent="0.25">
      <c r="B11" s="2" t="s">
        <v>407</v>
      </c>
      <c r="C11" s="10" t="str">
        <f>IF(C10&lt;$D$5,"close "&amp;D10,"stop")</f>
        <v>close A</v>
      </c>
      <c r="P11" s="5" t="s">
        <v>408</v>
      </c>
      <c r="Q11" s="5" t="s">
        <v>409</v>
      </c>
      <c r="R11" s="5" t="s">
        <v>410</v>
      </c>
      <c r="S11" s="6" t="s">
        <v>411</v>
      </c>
    </row>
    <row r="13" spans="2:21" x14ac:dyDescent="0.25">
      <c r="B13" s="4" t="s">
        <v>412</v>
      </c>
    </row>
    <row r="14" spans="2:21" x14ac:dyDescent="0.25">
      <c r="C14" s="4" t="s">
        <v>382</v>
      </c>
      <c r="D14" s="4" t="s">
        <v>383</v>
      </c>
      <c r="E14" s="4" t="s">
        <v>394</v>
      </c>
      <c r="P14" s="3" t="s">
        <v>413</v>
      </c>
    </row>
    <row r="15" spans="2:21" x14ac:dyDescent="0.25">
      <c r="B15" s="2" t="s">
        <v>262</v>
      </c>
      <c r="C15" s="11" t="s">
        <v>414</v>
      </c>
      <c r="D15" s="11">
        <f>D9</f>
        <v>6.25</v>
      </c>
      <c r="E15" s="11">
        <f>SUMPRODUCT('1 Task'!$F$10:$F$13,'1 Task'!$F$10:$F$13)/8</f>
        <v>6.25</v>
      </c>
      <c r="P15" s="14" t="s">
        <v>415</v>
      </c>
      <c r="Q15" s="15"/>
      <c r="R15" s="15"/>
      <c r="S15" s="15"/>
      <c r="T15" s="15"/>
      <c r="U15" s="15"/>
    </row>
    <row r="16" spans="2:21" x14ac:dyDescent="0.25">
      <c r="B16" s="2" t="s">
        <v>402</v>
      </c>
      <c r="C16" s="11">
        <f>MIN(D15:E15)</f>
        <v>6.25</v>
      </c>
      <c r="D16" s="11" t="str">
        <f>INDEX(D14:E14,MATCH(C16,D15:E15,0))</f>
        <v>B</v>
      </c>
      <c r="P16" s="14" t="s">
        <v>416</v>
      </c>
      <c r="Q16" s="15"/>
      <c r="R16" s="15"/>
      <c r="S16" s="15"/>
      <c r="T16" s="15"/>
      <c r="U16" s="15"/>
    </row>
    <row r="17" spans="2:21" x14ac:dyDescent="0.25">
      <c r="B17" s="2" t="s">
        <v>407</v>
      </c>
      <c r="C17" s="10" t="str">
        <f>IF(C16&lt;$D$5,"close "&amp;D16,"stop")</f>
        <v>stop</v>
      </c>
      <c r="D17" s="13" t="s">
        <v>417</v>
      </c>
      <c r="P17" s="14" t="s">
        <v>418</v>
      </c>
      <c r="Q17" s="15"/>
      <c r="R17" s="15"/>
      <c r="S17" s="15"/>
      <c r="T17" s="15"/>
      <c r="U17" s="15"/>
    </row>
    <row r="18" spans="2:21" x14ac:dyDescent="0.25">
      <c r="P18" s="14" t="s">
        <v>419</v>
      </c>
      <c r="Q18" s="15"/>
      <c r="R18" s="15"/>
      <c r="S18" s="15"/>
      <c r="T18" s="15"/>
      <c r="U18" s="15"/>
    </row>
    <row r="19" spans="2:21" x14ac:dyDescent="0.25">
      <c r="B19" s="13" t="s">
        <v>420</v>
      </c>
      <c r="P19" s="14" t="s">
        <v>421</v>
      </c>
      <c r="Q19" s="15"/>
      <c r="R19" s="15"/>
      <c r="S19" s="15"/>
      <c r="T19" s="15"/>
      <c r="U19" s="15"/>
    </row>
    <row r="20" spans="2:21" x14ac:dyDescent="0.25">
      <c r="B20" s="2" t="s">
        <v>422</v>
      </c>
      <c r="P20" s="14" t="s">
        <v>423</v>
      </c>
      <c r="Q20" s="15"/>
      <c r="R20" s="15"/>
      <c r="S20" s="15"/>
      <c r="T20" s="15"/>
      <c r="U20" s="15"/>
    </row>
    <row r="21" spans="2:21" x14ac:dyDescent="0.25">
      <c r="P21" s="14" t="s">
        <v>424</v>
      </c>
      <c r="Q21" s="15"/>
      <c r="R21" s="15"/>
      <c r="S21" s="15"/>
      <c r="T21" s="15"/>
      <c r="U21" s="15"/>
    </row>
    <row r="22" spans="2:21" x14ac:dyDescent="0.25">
      <c r="B22" s="2" t="s">
        <v>425</v>
      </c>
      <c r="P22" s="14" t="s">
        <v>426</v>
      </c>
      <c r="Q22" s="15"/>
      <c r="R22" s="15"/>
      <c r="S22" s="15"/>
      <c r="T22" s="15"/>
      <c r="U22" s="15"/>
    </row>
    <row r="23" spans="2:21" x14ac:dyDescent="0.25">
      <c r="B23" s="2" t="s">
        <v>427</v>
      </c>
      <c r="P23" s="14" t="s">
        <v>428</v>
      </c>
      <c r="Q23" s="15"/>
      <c r="R23" s="15"/>
      <c r="S23" s="15"/>
      <c r="T23" s="15"/>
      <c r="U23" s="15"/>
    </row>
    <row r="24" spans="2:21" x14ac:dyDescent="0.25">
      <c r="B24" s="2" t="s">
        <v>429</v>
      </c>
      <c r="P24" s="14" t="s">
        <v>430</v>
      </c>
      <c r="Q24" s="15"/>
      <c r="R24" s="15"/>
      <c r="S24" s="15"/>
      <c r="T24" s="15"/>
      <c r="U24" s="15"/>
    </row>
    <row r="25" spans="2:21" x14ac:dyDescent="0.25">
      <c r="P25" s="14" t="s">
        <v>431</v>
      </c>
      <c r="Q25" s="15"/>
      <c r="R25" s="15"/>
      <c r="S25" s="15"/>
      <c r="T25" s="15"/>
      <c r="U25" s="15"/>
    </row>
    <row r="26" spans="2:21" x14ac:dyDescent="0.25">
      <c r="P26" s="14" t="s">
        <v>432</v>
      </c>
      <c r="Q26" s="15"/>
      <c r="R26" s="15"/>
      <c r="S26" s="15"/>
      <c r="T26" s="15"/>
      <c r="U26" s="15"/>
    </row>
    <row r="27" spans="2:21" x14ac:dyDescent="0.25">
      <c r="P27" s="14" t="s">
        <v>433</v>
      </c>
      <c r="Q27" s="15"/>
      <c r="R27" s="15"/>
      <c r="S27" s="15"/>
      <c r="T27" s="15"/>
      <c r="U27" s="15"/>
    </row>
    <row r="28" spans="2:21" x14ac:dyDescent="0.25">
      <c r="P28" s="14" t="s">
        <v>434</v>
      </c>
      <c r="Q28" s="15"/>
      <c r="R28" s="15"/>
      <c r="S28" s="15"/>
      <c r="T28" s="15"/>
      <c r="U28" s="15"/>
    </row>
    <row r="29" spans="2:21" x14ac:dyDescent="0.25">
      <c r="P29" s="14" t="s">
        <v>435</v>
      </c>
      <c r="Q29" s="15"/>
      <c r="R29" s="15"/>
      <c r="S29" s="15"/>
      <c r="T29" s="15"/>
      <c r="U29" s="15"/>
    </row>
    <row r="30" spans="2:21" x14ac:dyDescent="0.25">
      <c r="P30" s="14" t="s">
        <v>436</v>
      </c>
      <c r="Q30" s="15"/>
      <c r="R30" s="15"/>
      <c r="S30" s="15"/>
      <c r="T30" s="15"/>
      <c r="U30" s="15"/>
    </row>
    <row r="31" spans="2:21" x14ac:dyDescent="0.25">
      <c r="P31" s="14" t="s">
        <v>437</v>
      </c>
      <c r="Q31" s="15"/>
      <c r="R31" s="15"/>
      <c r="S31" s="15"/>
      <c r="T31" s="15"/>
      <c r="U31" s="15"/>
    </row>
    <row r="32" spans="2:21" x14ac:dyDescent="0.25">
      <c r="P32" s="14" t="s">
        <v>438</v>
      </c>
      <c r="Q32" s="15"/>
      <c r="R32" s="15"/>
      <c r="S32" s="15"/>
      <c r="T32" s="15"/>
      <c r="U32" s="15"/>
    </row>
    <row r="33" spans="16:21" x14ac:dyDescent="0.25">
      <c r="P33" s="14" t="s">
        <v>439</v>
      </c>
      <c r="Q33" s="15"/>
      <c r="R33" s="15"/>
      <c r="S33" s="15"/>
      <c r="T33" s="15"/>
      <c r="U33" s="15"/>
    </row>
    <row r="34" spans="16:21" x14ac:dyDescent="0.25">
      <c r="P34" s="14" t="s">
        <v>440</v>
      </c>
      <c r="Q34" s="15"/>
      <c r="R34" s="15"/>
      <c r="S34" s="15"/>
      <c r="T34" s="15"/>
      <c r="U34" s="15"/>
    </row>
    <row r="35" spans="16:21" x14ac:dyDescent="0.25">
      <c r="P35" s="14"/>
      <c r="Q35" s="15"/>
      <c r="R35" s="15"/>
      <c r="S35" s="15"/>
      <c r="T35" s="15"/>
      <c r="U35" s="15"/>
    </row>
    <row r="36" spans="16:21" x14ac:dyDescent="0.25">
      <c r="P36" s="14" t="s">
        <v>415</v>
      </c>
      <c r="Q36" s="15"/>
      <c r="R36" s="15"/>
      <c r="S36" s="15"/>
      <c r="T36" s="15"/>
      <c r="U36" s="15"/>
    </row>
    <row r="37" spans="16:21" x14ac:dyDescent="0.25">
      <c r="P37" s="14" t="s">
        <v>441</v>
      </c>
      <c r="Q37" s="15"/>
      <c r="R37" s="15"/>
      <c r="S37" s="15"/>
      <c r="T37" s="15"/>
      <c r="U37" s="15"/>
    </row>
    <row r="38" spans="16:21" x14ac:dyDescent="0.25">
      <c r="P38" s="14" t="s">
        <v>442</v>
      </c>
      <c r="Q38" s="15"/>
      <c r="R38" s="15"/>
      <c r="S38" s="15"/>
      <c r="T38" s="15"/>
      <c r="U38" s="15"/>
    </row>
    <row r="39" spans="16:21" x14ac:dyDescent="0.25">
      <c r="P39" s="14" t="s">
        <v>443</v>
      </c>
      <c r="Q39" s="15"/>
      <c r="R39" s="15"/>
      <c r="S39" s="15"/>
      <c r="T39" s="15"/>
      <c r="U39" s="15"/>
    </row>
    <row r="40" spans="16:21" x14ac:dyDescent="0.25">
      <c r="P40" s="14" t="s">
        <v>444</v>
      </c>
      <c r="Q40" s="15"/>
      <c r="R40" s="15"/>
      <c r="S40" s="15"/>
      <c r="T40" s="15"/>
      <c r="U40" s="15"/>
    </row>
    <row r="41" spans="16:21" x14ac:dyDescent="0.25">
      <c r="P41" s="14" t="s">
        <v>192</v>
      </c>
      <c r="Q41" s="15"/>
      <c r="R41" s="15"/>
      <c r="S41" s="15"/>
      <c r="T41" s="15"/>
      <c r="U41" s="15"/>
    </row>
    <row r="42" spans="16:21" x14ac:dyDescent="0.25">
      <c r="P42" s="14" t="s">
        <v>445</v>
      </c>
      <c r="Q42" s="15"/>
      <c r="R42" s="15"/>
      <c r="S42" s="15"/>
      <c r="T42" s="15"/>
      <c r="U42" s="15"/>
    </row>
    <row r="43" spans="16:21" x14ac:dyDescent="0.25">
      <c r="P43" s="14" t="s">
        <v>446</v>
      </c>
      <c r="Q43" s="15"/>
      <c r="R43" s="15"/>
      <c r="S43" s="15"/>
      <c r="T43" s="15"/>
      <c r="U43" s="15"/>
    </row>
    <row r="44" spans="16:21" x14ac:dyDescent="0.25">
      <c r="P44" s="14" t="s">
        <v>447</v>
      </c>
      <c r="Q44" s="15"/>
      <c r="R44" s="15"/>
      <c r="S44" s="15"/>
      <c r="T44" s="15"/>
      <c r="U44" s="15"/>
    </row>
    <row r="45" spans="16:21" x14ac:dyDescent="0.25">
      <c r="P45" s="14" t="s">
        <v>448</v>
      </c>
      <c r="Q45" s="15"/>
      <c r="R45" s="15"/>
      <c r="S45" s="15"/>
      <c r="T45" s="15"/>
      <c r="U45" s="15"/>
    </row>
    <row r="47" spans="16:21" x14ac:dyDescent="0.25">
      <c r="P47" s="3" t="s">
        <v>449</v>
      </c>
    </row>
    <row r="48" spans="16:21" x14ac:dyDescent="0.25">
      <c r="P48" s="14" t="s">
        <v>450</v>
      </c>
      <c r="Q48" s="15"/>
      <c r="R48" s="15"/>
      <c r="S48" s="15"/>
      <c r="T48" s="15"/>
      <c r="U48" s="15"/>
    </row>
    <row r="49" spans="16:21" x14ac:dyDescent="0.25">
      <c r="P49" s="14" t="s">
        <v>451</v>
      </c>
      <c r="Q49" s="15"/>
      <c r="R49" s="15"/>
      <c r="S49" s="15"/>
      <c r="T49" s="15"/>
      <c r="U49" s="15"/>
    </row>
    <row r="50" spans="16:21" x14ac:dyDescent="0.25">
      <c r="P50" s="14" t="s">
        <v>452</v>
      </c>
      <c r="Q50" s="15"/>
      <c r="R50" s="15"/>
      <c r="S50" s="15"/>
      <c r="T50" s="15"/>
      <c r="U50" s="15"/>
    </row>
    <row r="51" spans="16:21" x14ac:dyDescent="0.25">
      <c r="P51" s="14" t="s">
        <v>453</v>
      </c>
      <c r="Q51" s="15"/>
      <c r="R51" s="15"/>
      <c r="S51" s="15"/>
      <c r="T51" s="15"/>
      <c r="U51" s="15"/>
    </row>
    <row r="52" spans="16:21" x14ac:dyDescent="0.25">
      <c r="P52" s="14" t="s">
        <v>454</v>
      </c>
      <c r="Q52" s="15"/>
      <c r="R52" s="15"/>
      <c r="S52" s="15"/>
      <c r="T52" s="15"/>
      <c r="U52" s="15"/>
    </row>
    <row r="53" spans="16:21" x14ac:dyDescent="0.25">
      <c r="P53" s="14" t="s">
        <v>455</v>
      </c>
      <c r="Q53" s="15"/>
      <c r="R53" s="15"/>
      <c r="S53" s="15"/>
      <c r="T53" s="15"/>
      <c r="U53" s="15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40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456</v>
      </c>
    </row>
    <row r="2" spans="2:21" x14ac:dyDescent="0.25">
      <c r="B2" s="2" t="s">
        <v>457</v>
      </c>
    </row>
    <row r="3" spans="2:21" x14ac:dyDescent="0.25">
      <c r="B3" s="2" t="s">
        <v>458</v>
      </c>
    </row>
    <row r="4" spans="2:21" x14ac:dyDescent="0.25">
      <c r="C4" s="2" t="s">
        <v>459</v>
      </c>
    </row>
    <row r="5" spans="2:21" x14ac:dyDescent="0.25">
      <c r="P5" s="3" t="s">
        <v>3</v>
      </c>
    </row>
    <row r="6" spans="2:21" x14ac:dyDescent="0.25">
      <c r="B6" s="2" t="s">
        <v>460</v>
      </c>
      <c r="F6" s="12">
        <v>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B7" s="2" t="s">
        <v>461</v>
      </c>
      <c r="F7" s="12">
        <v>0.1</v>
      </c>
      <c r="P7" s="5" t="s">
        <v>462</v>
      </c>
      <c r="Q7" s="5" t="s">
        <v>463</v>
      </c>
      <c r="R7" s="5" t="s">
        <v>464</v>
      </c>
      <c r="S7" s="6"/>
    </row>
    <row r="8" spans="2:21" x14ac:dyDescent="0.25">
      <c r="B8" s="2" t="s">
        <v>465</v>
      </c>
      <c r="F8" s="12">
        <v>0.03</v>
      </c>
      <c r="P8" s="5" t="s">
        <v>466</v>
      </c>
      <c r="Q8" s="5" t="s">
        <v>463</v>
      </c>
      <c r="R8" s="5" t="s">
        <v>467</v>
      </c>
      <c r="S8" s="6" t="s">
        <v>468</v>
      </c>
    </row>
    <row r="9" spans="2:21" x14ac:dyDescent="0.25">
      <c r="P9" s="5" t="s">
        <v>390</v>
      </c>
      <c r="Q9" s="5" t="s">
        <v>463</v>
      </c>
      <c r="R9" s="5" t="s">
        <v>396</v>
      </c>
      <c r="S9" s="6"/>
    </row>
    <row r="10" spans="2:21" x14ac:dyDescent="0.25">
      <c r="B10" s="4" t="s">
        <v>469</v>
      </c>
      <c r="D10" s="4" t="s">
        <v>470</v>
      </c>
      <c r="F10" s="4" t="s">
        <v>471</v>
      </c>
      <c r="H10" s="4" t="s">
        <v>472</v>
      </c>
      <c r="P10" s="5" t="s">
        <v>473</v>
      </c>
      <c r="Q10" s="5" t="s">
        <v>474</v>
      </c>
      <c r="R10" s="5" t="s">
        <v>475</v>
      </c>
      <c r="S10" s="6" t="s">
        <v>476</v>
      </c>
    </row>
    <row r="11" spans="2:21" x14ac:dyDescent="0.25">
      <c r="B11" s="11">
        <v>1</v>
      </c>
      <c r="D11" s="22">
        <f t="shared" ref="D11:D22" si="0">IF(B11-1&lt;=$F$6-1,1,BINOMDIST($F$6-1,B11-1,1-$F$7,TRUE))</f>
        <v>1</v>
      </c>
      <c r="F11" s="23">
        <f t="shared" ref="F11:F22" si="1">(1-$F$7)/$F$6*D11</f>
        <v>0.22500000000000001</v>
      </c>
      <c r="H11" s="11" t="str">
        <f t="shared" ref="H11:H22" si="2">IF(F11&gt;=$F$8,"keep","drop")</f>
        <v>keep</v>
      </c>
    </row>
    <row r="12" spans="2:21" x14ac:dyDescent="0.25">
      <c r="B12" s="11">
        <v>2</v>
      </c>
      <c r="D12" s="22">
        <f t="shared" si="0"/>
        <v>1</v>
      </c>
      <c r="F12" s="23">
        <f t="shared" si="1"/>
        <v>0.22500000000000001</v>
      </c>
      <c r="H12" s="11" t="str">
        <f t="shared" si="2"/>
        <v>keep</v>
      </c>
    </row>
    <row r="13" spans="2:21" x14ac:dyDescent="0.25">
      <c r="B13" s="11">
        <v>3</v>
      </c>
      <c r="D13" s="22">
        <f t="shared" si="0"/>
        <v>1</v>
      </c>
      <c r="F13" s="23">
        <f t="shared" si="1"/>
        <v>0.22500000000000001</v>
      </c>
      <c r="H13" s="11" t="str">
        <f t="shared" si="2"/>
        <v>keep</v>
      </c>
      <c r="P13" s="3" t="s">
        <v>477</v>
      </c>
    </row>
    <row r="14" spans="2:21" x14ac:dyDescent="0.25">
      <c r="B14" s="11">
        <v>4</v>
      </c>
      <c r="D14" s="22">
        <f t="shared" si="0"/>
        <v>1</v>
      </c>
      <c r="F14" s="23">
        <f t="shared" si="1"/>
        <v>0.22500000000000001</v>
      </c>
      <c r="H14" s="11" t="str">
        <f t="shared" si="2"/>
        <v>keep</v>
      </c>
      <c r="P14" s="14" t="s">
        <v>415</v>
      </c>
      <c r="Q14" s="15"/>
      <c r="R14" s="15"/>
      <c r="S14" s="15"/>
      <c r="T14" s="15"/>
      <c r="U14" s="15"/>
    </row>
    <row r="15" spans="2:21" x14ac:dyDescent="0.25">
      <c r="B15" s="11">
        <v>5</v>
      </c>
      <c r="D15" s="22">
        <f t="shared" si="0"/>
        <v>0.34389999999999998</v>
      </c>
      <c r="F15" s="23">
        <f t="shared" si="1"/>
        <v>7.7377500000000002E-2</v>
      </c>
      <c r="H15" s="11" t="str">
        <f t="shared" si="2"/>
        <v>keep</v>
      </c>
      <c r="P15" s="14" t="s">
        <v>478</v>
      </c>
      <c r="Q15" s="15"/>
      <c r="R15" s="15"/>
      <c r="S15" s="15"/>
      <c r="T15" s="15"/>
      <c r="U15" s="15"/>
    </row>
    <row r="16" spans="2:21" x14ac:dyDescent="0.25">
      <c r="B16" s="11">
        <v>6</v>
      </c>
      <c r="D16" s="22">
        <f t="shared" si="0"/>
        <v>8.1459999999999963E-2</v>
      </c>
      <c r="F16" s="23">
        <f t="shared" si="1"/>
        <v>1.8328499999999991E-2</v>
      </c>
      <c r="H16" s="11" t="str">
        <f t="shared" si="2"/>
        <v>drop</v>
      </c>
      <c r="P16" s="14" t="s">
        <v>479</v>
      </c>
      <c r="Q16" s="15"/>
      <c r="R16" s="15"/>
      <c r="S16" s="15"/>
      <c r="T16" s="15"/>
      <c r="U16" s="15"/>
    </row>
    <row r="17" spans="2:21" x14ac:dyDescent="0.25">
      <c r="B17" s="11">
        <v>7</v>
      </c>
      <c r="D17" s="22">
        <f t="shared" si="0"/>
        <v>1.585E-2</v>
      </c>
      <c r="F17" s="23">
        <f t="shared" si="1"/>
        <v>3.56625E-3</v>
      </c>
      <c r="H17" s="11" t="str">
        <f t="shared" si="2"/>
        <v>drop</v>
      </c>
      <c r="P17" s="14" t="s">
        <v>480</v>
      </c>
      <c r="Q17" s="15"/>
      <c r="R17" s="15"/>
      <c r="S17" s="15"/>
      <c r="T17" s="15"/>
      <c r="U17" s="15"/>
    </row>
    <row r="18" spans="2:21" x14ac:dyDescent="0.25">
      <c r="B18" s="11">
        <v>8</v>
      </c>
      <c r="D18" s="22">
        <f t="shared" si="0"/>
        <v>2.7279999999999965E-3</v>
      </c>
      <c r="F18" s="23">
        <f t="shared" si="1"/>
        <v>6.137999999999992E-4</v>
      </c>
      <c r="H18" s="11" t="str">
        <f t="shared" si="2"/>
        <v>drop</v>
      </c>
      <c r="P18" s="14" t="s">
        <v>481</v>
      </c>
      <c r="Q18" s="15"/>
      <c r="R18" s="15"/>
      <c r="S18" s="15"/>
      <c r="T18" s="15"/>
      <c r="U18" s="15"/>
    </row>
    <row r="19" spans="2:21" x14ac:dyDescent="0.25">
      <c r="B19" s="11">
        <v>9</v>
      </c>
      <c r="D19" s="22">
        <f t="shared" si="0"/>
        <v>4.316500000000006E-4</v>
      </c>
      <c r="F19" s="23">
        <f t="shared" si="1"/>
        <v>9.7121250000000133E-5</v>
      </c>
      <c r="H19" s="11" t="str">
        <f t="shared" si="2"/>
        <v>drop</v>
      </c>
      <c r="P19" s="14" t="s">
        <v>482</v>
      </c>
      <c r="Q19" s="15"/>
      <c r="R19" s="15"/>
      <c r="S19" s="15"/>
      <c r="T19" s="15"/>
      <c r="U19" s="15"/>
    </row>
    <row r="20" spans="2:21" x14ac:dyDescent="0.25">
      <c r="B20" s="11">
        <v>10</v>
      </c>
      <c r="D20" s="22">
        <f t="shared" si="0"/>
        <v>6.4234000000000104E-5</v>
      </c>
      <c r="F20" s="23">
        <f t="shared" si="1"/>
        <v>1.4452650000000023E-5</v>
      </c>
      <c r="H20" s="11" t="str">
        <f t="shared" si="2"/>
        <v>drop</v>
      </c>
      <c r="P20" s="14" t="s">
        <v>483</v>
      </c>
      <c r="Q20" s="15"/>
      <c r="R20" s="15"/>
      <c r="S20" s="15"/>
      <c r="T20" s="15"/>
      <c r="U20" s="15"/>
    </row>
    <row r="21" spans="2:21" x14ac:dyDescent="0.25">
      <c r="B21" s="11">
        <v>11</v>
      </c>
      <c r="D21" s="22">
        <f t="shared" si="0"/>
        <v>9.1216000000000178E-6</v>
      </c>
      <c r="F21" s="23">
        <f t="shared" si="1"/>
        <v>2.052360000000004E-6</v>
      </c>
      <c r="H21" s="11" t="str">
        <f t="shared" si="2"/>
        <v>drop</v>
      </c>
      <c r="P21" s="14" t="s">
        <v>484</v>
      </c>
      <c r="Q21" s="15"/>
      <c r="R21" s="15"/>
      <c r="S21" s="15"/>
      <c r="T21" s="15"/>
      <c r="U21" s="15"/>
    </row>
    <row r="22" spans="2:21" x14ac:dyDescent="0.25">
      <c r="B22" s="11">
        <v>12</v>
      </c>
      <c r="D22" s="22">
        <f t="shared" si="0"/>
        <v>1.2484000000000057E-6</v>
      </c>
      <c r="F22" s="23">
        <f t="shared" si="1"/>
        <v>2.8089000000000129E-7</v>
      </c>
      <c r="H22" s="11" t="str">
        <f t="shared" si="2"/>
        <v>drop</v>
      </c>
      <c r="P22" s="14" t="s">
        <v>485</v>
      </c>
      <c r="Q22" s="15"/>
      <c r="R22" s="15"/>
      <c r="S22" s="15"/>
      <c r="T22" s="15"/>
      <c r="U22" s="15"/>
    </row>
    <row r="24" spans="2:21" x14ac:dyDescent="0.25">
      <c r="B24" s="4" t="s">
        <v>486</v>
      </c>
      <c r="F24" s="10">
        <f>COUNTIF(F11:F22,"&gt;="&amp;$F$8)</f>
        <v>5</v>
      </c>
    </row>
    <row r="26" spans="2:21" x14ac:dyDescent="0.25">
      <c r="B26" s="2" t="s">
        <v>487</v>
      </c>
    </row>
    <row r="27" spans="2:21" x14ac:dyDescent="0.25">
      <c r="B27" s="2" t="s">
        <v>488</v>
      </c>
    </row>
    <row r="29" spans="2:21" x14ac:dyDescent="0.25">
      <c r="B29" s="4" t="s">
        <v>489</v>
      </c>
    </row>
    <row r="30" spans="2:21" x14ac:dyDescent="0.25">
      <c r="B30" s="4" t="s">
        <v>462</v>
      </c>
      <c r="D30" s="4" t="s">
        <v>61</v>
      </c>
      <c r="F30" s="4" t="s">
        <v>490</v>
      </c>
    </row>
    <row r="31" spans="2:21" x14ac:dyDescent="0.25">
      <c r="B31" s="11">
        <v>2</v>
      </c>
      <c r="D31" s="11">
        <v>0.05</v>
      </c>
      <c r="F31" s="11" t="s">
        <v>491</v>
      </c>
    </row>
    <row r="32" spans="2:21" x14ac:dyDescent="0.25">
      <c r="B32" s="11">
        <v>2</v>
      </c>
      <c r="D32" s="11">
        <v>0.1</v>
      </c>
      <c r="F32" s="11" t="s">
        <v>491</v>
      </c>
    </row>
    <row r="33" spans="2:6" x14ac:dyDescent="0.25">
      <c r="B33" s="11">
        <v>2</v>
      </c>
      <c r="D33" s="11">
        <v>0.2</v>
      </c>
      <c r="F33" s="11" t="s">
        <v>492</v>
      </c>
    </row>
    <row r="34" spans="2:6" x14ac:dyDescent="0.25">
      <c r="B34" s="11">
        <v>2</v>
      </c>
      <c r="D34" s="11">
        <v>0.3</v>
      </c>
      <c r="F34" s="11" t="s">
        <v>493</v>
      </c>
    </row>
    <row r="35" spans="2:6" x14ac:dyDescent="0.25">
      <c r="B35" s="11">
        <v>4</v>
      </c>
      <c r="D35" s="11">
        <v>0.05</v>
      </c>
      <c r="F35" s="11" t="s">
        <v>494</v>
      </c>
    </row>
    <row r="36" spans="2:6" x14ac:dyDescent="0.25">
      <c r="B36" s="11">
        <v>4</v>
      </c>
      <c r="D36" s="11">
        <v>0.1</v>
      </c>
      <c r="F36" s="11" t="s">
        <v>495</v>
      </c>
    </row>
    <row r="37" spans="2:6" x14ac:dyDescent="0.25">
      <c r="B37" s="11">
        <v>4</v>
      </c>
      <c r="D37" s="11">
        <v>0.2</v>
      </c>
      <c r="F37" s="11" t="s">
        <v>496</v>
      </c>
    </row>
    <row r="38" spans="2:6" x14ac:dyDescent="0.25">
      <c r="B38" s="11">
        <v>4</v>
      </c>
      <c r="D38" s="11">
        <v>0.3</v>
      </c>
      <c r="F38" s="11" t="s">
        <v>497</v>
      </c>
    </row>
    <row r="40" spans="2:6" x14ac:dyDescent="0.25">
      <c r="B40" s="21" t="s">
        <v>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 Read me</vt:lpstr>
      <vt:lpstr>1 Task</vt:lpstr>
      <vt:lpstr>2 One head</vt:lpstr>
      <vt:lpstr>3 Two heads</vt:lpstr>
      <vt:lpstr>4 Why R heads</vt:lpstr>
      <vt:lpstr>5 Collateral value</vt:lpstr>
      <vt:lpstr>6 The rule</vt:lpstr>
      <vt:lpstr>7 Backup heads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Mason Kadem</cp:lastModifiedBy>
  <dcterms:created xsi:type="dcterms:W3CDTF">2026-10-04T19:48:12Z</dcterms:created>
  <dcterms:modified xsi:type="dcterms:W3CDTF">2026-10-04T19:49:18Z</dcterms:modified>
</cp:coreProperties>
</file>